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N\Desktop\"/>
    </mc:Choice>
  </mc:AlternateContent>
  <bookViews>
    <workbookView xWindow="0" yWindow="0" windowWidth="23040" windowHeight="9192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0" i="1" l="1"/>
  <c r="D76" i="1"/>
  <c r="E76" i="1"/>
  <c r="C76" i="1"/>
  <c r="G11" i="1"/>
  <c r="D64" i="1"/>
  <c r="G4" i="1" l="1"/>
  <c r="H11" i="1"/>
  <c r="I54" i="1" l="1"/>
  <c r="I53" i="1"/>
  <c r="I48" i="1"/>
  <c r="J48" i="1" s="1"/>
  <c r="I49" i="1"/>
  <c r="I47" i="1"/>
  <c r="I41" i="1"/>
  <c r="I42" i="1"/>
  <c r="I43" i="1"/>
  <c r="I40" i="1"/>
  <c r="K40" i="1" s="1"/>
  <c r="H16" i="1"/>
  <c r="I44" i="1" l="1"/>
  <c r="D61" i="1" s="1"/>
  <c r="I55" i="1"/>
  <c r="J54" i="1"/>
  <c r="J53" i="1"/>
  <c r="K53" i="1"/>
  <c r="I50" i="1"/>
  <c r="J47" i="1"/>
  <c r="K49" i="1"/>
  <c r="K47" i="1"/>
  <c r="K48" i="1"/>
  <c r="J41" i="1"/>
  <c r="K41" i="1"/>
  <c r="J40" i="1"/>
  <c r="K54" i="1" l="1"/>
  <c r="K55" i="1"/>
  <c r="J55" i="1"/>
  <c r="J49" i="1"/>
  <c r="K50" i="1"/>
  <c r="J50" i="1"/>
  <c r="J42" i="1"/>
  <c r="K42" i="1"/>
  <c r="H27" i="1"/>
  <c r="I27" i="1" s="1"/>
  <c r="K43" i="1" l="1"/>
  <c r="J43" i="1"/>
  <c r="D12" i="1"/>
  <c r="E12" i="1"/>
  <c r="F12" i="1"/>
  <c r="H20" i="1"/>
  <c r="H17" i="1"/>
  <c r="H18" i="1"/>
  <c r="H19" i="1"/>
  <c r="H21" i="1"/>
  <c r="H22" i="1"/>
  <c r="H23" i="1"/>
  <c r="H24" i="1"/>
  <c r="H25" i="1"/>
  <c r="H26" i="1"/>
  <c r="H28" i="1"/>
  <c r="H29" i="1"/>
  <c r="H30" i="1"/>
  <c r="H31" i="1"/>
  <c r="H32" i="1"/>
  <c r="H33" i="1"/>
  <c r="H34" i="1"/>
  <c r="K44" i="1" l="1"/>
  <c r="J44" i="1"/>
  <c r="H35" i="1"/>
  <c r="D65" i="1" s="1"/>
  <c r="J16" i="1"/>
  <c r="I17" i="1"/>
  <c r="I16" i="1" l="1"/>
  <c r="I34" i="1" l="1"/>
  <c r="J34" i="1"/>
  <c r="I28" i="1"/>
  <c r="J28" i="1"/>
  <c r="I29" i="1"/>
  <c r="J29" i="1"/>
  <c r="I30" i="1"/>
  <c r="J30" i="1"/>
  <c r="I31" i="1"/>
  <c r="J31" i="1"/>
  <c r="I32" i="1"/>
  <c r="J32" i="1"/>
  <c r="I33" i="1"/>
  <c r="J33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J27" i="1"/>
  <c r="J35" i="1" l="1"/>
  <c r="I35" i="1"/>
  <c r="I5" i="1"/>
  <c r="I6" i="1"/>
  <c r="I7" i="1"/>
  <c r="I8" i="1"/>
  <c r="I9" i="1"/>
  <c r="I10" i="1"/>
  <c r="I11" i="1"/>
  <c r="I4" i="1"/>
  <c r="J5" i="1"/>
  <c r="J6" i="1"/>
  <c r="J7" i="1"/>
  <c r="J8" i="1"/>
  <c r="J9" i="1"/>
  <c r="J10" i="1"/>
  <c r="J11" i="1"/>
  <c r="J4" i="1"/>
  <c r="H7" i="1"/>
  <c r="H5" i="1"/>
  <c r="H6" i="1"/>
  <c r="H8" i="1"/>
  <c r="H9" i="1"/>
  <c r="H10" i="1"/>
  <c r="H4" i="1"/>
  <c r="G5" i="1"/>
  <c r="G6" i="1"/>
  <c r="G7" i="1"/>
  <c r="G8" i="1"/>
  <c r="G9" i="1"/>
  <c r="G10" i="1"/>
  <c r="J12" i="1" l="1"/>
  <c r="G12" i="1"/>
  <c r="H12" i="1"/>
  <c r="D62" i="1" s="1"/>
  <c r="D66" i="1" s="1"/>
  <c r="I12" i="1"/>
</calcChain>
</file>

<file path=xl/sharedStrings.xml><?xml version="1.0" encoding="utf-8"?>
<sst xmlns="http://schemas.openxmlformats.org/spreadsheetml/2006/main" count="205" uniqueCount="170">
  <si>
    <t>Gesamt</t>
  </si>
  <si>
    <t>Kostenart</t>
  </si>
  <si>
    <t>Betrag (€)</t>
  </si>
  <si>
    <t xml:space="preserve">Einmalig </t>
  </si>
  <si>
    <t>Monatlich</t>
  </si>
  <si>
    <t>Jährlich</t>
  </si>
  <si>
    <t>Erste Kosten</t>
  </si>
  <si>
    <t>Q1</t>
  </si>
  <si>
    <t>Q1+Q2</t>
  </si>
  <si>
    <t>Jahr1</t>
  </si>
  <si>
    <t>Miete</t>
  </si>
  <si>
    <t>Kaution</t>
  </si>
  <si>
    <t>Versicherung</t>
  </si>
  <si>
    <t>Internet</t>
  </si>
  <si>
    <t>Strom</t>
  </si>
  <si>
    <t>Wasser</t>
  </si>
  <si>
    <t>Reinigungskraft</t>
  </si>
  <si>
    <t>Atelier - Kernsaniertes Büroloft in Köln-Ehrenfeld</t>
  </si>
  <si>
    <t>Sonstige Kosten (Nebenkosten)</t>
  </si>
  <si>
    <t>O2</t>
  </si>
  <si>
    <t>Anbieter</t>
  </si>
  <si>
    <t>AndSafe (Betriebshaftpflicht)</t>
  </si>
  <si>
    <t>Wecasa (8Std. Monat)</t>
  </si>
  <si>
    <t>Menge</t>
  </si>
  <si>
    <t>Anbieter 1 (€)</t>
  </si>
  <si>
    <t>Anbieter 2 (€)</t>
  </si>
  <si>
    <t>Ausgewählter Preis (€)</t>
  </si>
  <si>
    <t>MwSt-Satz (%)</t>
  </si>
  <si>
    <t>Bruttopreis (€)</t>
  </si>
  <si>
    <t>Nettopreis (€)</t>
  </si>
  <si>
    <t>MwSt. (€)</t>
  </si>
  <si>
    <t>Austattung</t>
  </si>
  <si>
    <t>Produkte</t>
  </si>
  <si>
    <t>Schneidematte</t>
  </si>
  <si>
    <t>Industrie-Schnellnäher</t>
  </si>
  <si>
    <t>Freiarm-Maschine</t>
  </si>
  <si>
    <t>Overlock-Maschine</t>
  </si>
  <si>
    <t>großer Zuschneidetisch</t>
  </si>
  <si>
    <t>Dampfbügelstation</t>
  </si>
  <si>
    <t>Deckenleuchten</t>
  </si>
  <si>
    <t>Arbeitsleuchten</t>
  </si>
  <si>
    <t>Deckenstromwürfel</t>
  </si>
  <si>
    <t>Große Rollbehälter</t>
  </si>
  <si>
    <t>Telefon</t>
  </si>
  <si>
    <t>Computer</t>
  </si>
  <si>
    <t>Drucker</t>
  </si>
  <si>
    <t>Bürotisch</t>
  </si>
  <si>
    <t>Büroschrank</t>
  </si>
  <si>
    <t>Kaffeemaschine</t>
  </si>
  <si>
    <t>Tisch</t>
  </si>
  <si>
    <t>nähPark (1.699€)</t>
  </si>
  <si>
    <t>Senci (1.195€)</t>
  </si>
  <si>
    <t>cyberport (98,95€)</t>
  </si>
  <si>
    <t>Otto (119,99€)</t>
  </si>
  <si>
    <t>Retoura (131,99€)</t>
  </si>
  <si>
    <t>VEVOR (153,99€)</t>
  </si>
  <si>
    <t>home24 (87,99 €)</t>
  </si>
  <si>
    <t>Aosom (83,90€)</t>
  </si>
  <si>
    <t>creazon (999,01€)</t>
  </si>
  <si>
    <t>Tubefittings (170€)</t>
  </si>
  <si>
    <t>Sprintis (157,44 €)</t>
  </si>
  <si>
    <t>Amazon (130,03€)</t>
  </si>
  <si>
    <t>Philips (89,99€)</t>
  </si>
  <si>
    <t>Retoura (33,99€)</t>
  </si>
  <si>
    <t>lampe.de (39,99€)</t>
  </si>
  <si>
    <t>toom (9,99€)</t>
  </si>
  <si>
    <t>Nähwelt Flach (31,99€)</t>
  </si>
  <si>
    <t>lampenwelt.de (34,90€)</t>
  </si>
  <si>
    <t>Drehhocker</t>
  </si>
  <si>
    <t>Bürostuhl</t>
  </si>
  <si>
    <t>wolkdirekt (54€)</t>
  </si>
  <si>
    <t>produceshop (59,99€)</t>
  </si>
  <si>
    <t>Amazon (37,93€)</t>
  </si>
  <si>
    <t>HORNBACH (82,32€)</t>
  </si>
  <si>
    <t>HHL Schwerlastregale (148,75€)</t>
  </si>
  <si>
    <t>der ROLLENDE SHOP (118,16€)</t>
  </si>
  <si>
    <t>MediaMarkt (42,99€)</t>
  </si>
  <si>
    <t>SATURN (67,99€)</t>
  </si>
  <si>
    <t>Lenovo (665,96€)</t>
  </si>
  <si>
    <t>MediaMarkt (399€)</t>
  </si>
  <si>
    <t>Amazon (62,78€)</t>
  </si>
  <si>
    <t>MediaMarkt (99,99€)</t>
  </si>
  <si>
    <t>Check24 (158,40€)</t>
  </si>
  <si>
    <t>tectakehome (204,99€)</t>
  </si>
  <si>
    <t>Otto (139,99€)</t>
  </si>
  <si>
    <t>Amazon (164,95€)</t>
  </si>
  <si>
    <t>JYSK (60€)</t>
  </si>
  <si>
    <t>Joybuy (53,09€)</t>
  </si>
  <si>
    <t>medion (49,95€)</t>
  </si>
  <si>
    <t>Tchibo (39€)</t>
  </si>
  <si>
    <t>Bausteinaufgabe 1 – Materialliste</t>
  </si>
  <si>
    <t>Material</t>
  </si>
  <si>
    <t>Einheit</t>
  </si>
  <si>
    <t>Hilfsmittel</t>
  </si>
  <si>
    <t xml:space="preserve">Bruttopreis (€) </t>
  </si>
  <si>
    <t>Werkzeug</t>
  </si>
  <si>
    <t>Gebrauchtware (€)</t>
  </si>
  <si>
    <t>MwSt (€)</t>
  </si>
  <si>
    <t>Bausteinaufgabe 5 – Ressourcenmanagement</t>
  </si>
  <si>
    <t>1. Kapitalbedarf – Was wird benötigt?</t>
  </si>
  <si>
    <t>Kategorie</t>
  </si>
  <si>
    <t>Beschreibung</t>
  </si>
  <si>
    <t>Kommentar / Quelle</t>
  </si>
  <si>
    <t>Materialkosten</t>
  </si>
  <si>
    <t>Werbung</t>
  </si>
  <si>
    <t>Personal</t>
  </si>
  <si>
    <t>Sonstiges</t>
  </si>
  <si>
    <t>2. Finanzierungsquellen</t>
  </si>
  <si>
    <t>Quelle</t>
  </si>
  <si>
    <t>Bedingungen / Rückzahlung</t>
  </si>
  <si>
    <t>Kommentar</t>
  </si>
  <si>
    <t>Bankkredit</t>
  </si>
  <si>
    <t>Crowdfunding</t>
  </si>
  <si>
    <t>Eigenkapital</t>
  </si>
  <si>
    <t>3. Preiskalkulation</t>
  </si>
  <si>
    <t>Produkt</t>
  </si>
  <si>
    <t>Gesamtkosten pro Stück (€)</t>
  </si>
  <si>
    <t>Gewinnaufschlag (%)</t>
  </si>
  <si>
    <t>Verkaufspreis (€)</t>
  </si>
  <si>
    <t>Stoff</t>
  </si>
  <si>
    <t>Meter</t>
  </si>
  <si>
    <t>Gurtband für Henkel</t>
  </si>
  <si>
    <t>Nähgarn</t>
  </si>
  <si>
    <t>Label/Etiketten</t>
  </si>
  <si>
    <t>Stück</t>
  </si>
  <si>
    <t>Konen</t>
  </si>
  <si>
    <t>Schneiderkreide/Markierstifte</t>
  </si>
  <si>
    <t>Stecknadeln/Stoffklammern</t>
  </si>
  <si>
    <t>Ersatznadeln (Nähmaschine)</t>
  </si>
  <si>
    <t>Sets</t>
  </si>
  <si>
    <t>Packungen</t>
  </si>
  <si>
    <t>Stoffscheren/Rollschneider</t>
  </si>
  <si>
    <t>Nahttrenner</t>
  </si>
  <si>
    <t>Snaply (9,90€)</t>
  </si>
  <si>
    <t>Amazon (9.50€)</t>
  </si>
  <si>
    <t>STOKLASA (3,16€)</t>
  </si>
  <si>
    <t>Nähkaufhaus (2,26€)</t>
  </si>
  <si>
    <t>alles-für-selber-machen.de (3€)</t>
  </si>
  <si>
    <t>Packlinq.de (2,90€)</t>
  </si>
  <si>
    <t>namensbänder.de (0,85€)</t>
  </si>
  <si>
    <t>Lederetikett.de (0,90€)</t>
  </si>
  <si>
    <t>planenlager.de (0,62€)</t>
  </si>
  <si>
    <t>Budgetstoffe.de (0,85€)</t>
  </si>
  <si>
    <t>Nähkaufhaus.de (3,42€)</t>
  </si>
  <si>
    <t>Die Zauberscheren (5,99€)</t>
  </si>
  <si>
    <t>Amazon (4,45€)</t>
  </si>
  <si>
    <t>HORNBACH (3,95€)</t>
  </si>
  <si>
    <t>TimeTex (3,95€)</t>
  </si>
  <si>
    <t>Böttcher AG (8,48€)</t>
  </si>
  <si>
    <t>ebay (9,99€)</t>
  </si>
  <si>
    <t>nähpark (3,50€)</t>
  </si>
  <si>
    <t>ebay (1,59€)</t>
  </si>
  <si>
    <t>Nähkaufhaus (1€)</t>
  </si>
  <si>
    <t>1. Quatal + Einmalige Kosten</t>
  </si>
  <si>
    <t>Stoff, Gurtband,
Nähgarn, Label/Etikett</t>
  </si>
  <si>
    <t>Austattung, Hilfsmittel,
Werkzeug</t>
  </si>
  <si>
    <t>Bruttopreis</t>
  </si>
  <si>
    <t>Für das Atelier</t>
  </si>
  <si>
    <t>Fertigung (3 Personen / 1000 Stk.)</t>
  </si>
  <si>
    <t>XERB</t>
  </si>
  <si>
    <t>Marketingkampagne</t>
  </si>
  <si>
    <t>0,5 Stunden pro Tasche bei 1000 Taschen, sowie ungefähr 33 Std. fürs Marketing, 15€ Stundenlohn</t>
  </si>
  <si>
    <t>kleine Allzwecktasche</t>
  </si>
  <si>
    <t>Ziel-Endpreis: 19,99€
(inkl. MwSt.)</t>
  </si>
  <si>
    <t>Private Erspanisse der Gründer</t>
  </si>
  <si>
    <t>keine Rückzahlung</t>
  </si>
  <si>
    <t>Finanzierung über gofundme.com</t>
  </si>
  <si>
    <t>Unterstüzung durch "Backer",
bei versagen Zurückzahlen</t>
  </si>
  <si>
    <t>Der Rest der benötigt wird,
Runden wir es auf 30k auf</t>
  </si>
  <si>
    <t>96 Monate, 351,60€ Rate Monatlich
bei 30.000€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</si>
</sst>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  <numFmt numFmtId="165" formatCode="#,##0.000\ &quot;€&quot;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164" fontId="0" fillId="0" borderId="0" xfId="0" applyNumberFormat="1"/>
    <xf numFmtId="0" fontId="0" fillId="0" borderId="0" xfId="0" applyFont="1"/>
    <xf numFmtId="0" fontId="0" fillId="2" borderId="0" xfId="0" applyFill="1"/>
    <xf numFmtId="164" fontId="0" fillId="0" borderId="0" xfId="0" applyNumberFormat="1" applyFont="1"/>
    <xf numFmtId="164" fontId="0" fillId="0" borderId="0" xfId="0" applyNumberFormat="1" applyFont="1" applyAlignment="1">
      <alignment wrapText="1"/>
    </xf>
    <xf numFmtId="164" fontId="2" fillId="0" borderId="0" xfId="0" applyNumberFormat="1" applyFont="1"/>
    <xf numFmtId="0" fontId="3" fillId="2" borderId="0" xfId="0" applyFont="1" applyFill="1"/>
    <xf numFmtId="0" fontId="3" fillId="0" borderId="0" xfId="0" applyFont="1"/>
    <xf numFmtId="8" fontId="0" fillId="0" borderId="0" xfId="0" applyNumberFormat="1"/>
    <xf numFmtId="0" fontId="4" fillId="0" borderId="0" xfId="0" applyFont="1"/>
    <xf numFmtId="164" fontId="4" fillId="0" borderId="0" xfId="0" applyNumberFormat="1" applyFont="1"/>
    <xf numFmtId="165" fontId="5" fillId="0" borderId="0" xfId="1" applyNumberFormat="1"/>
    <xf numFmtId="0" fontId="5" fillId="0" borderId="0" xfId="1"/>
    <xf numFmtId="44" fontId="0" fillId="0" borderId="0" xfId="0" applyNumberFormat="1"/>
    <xf numFmtId="0" fontId="0" fillId="0" borderId="0" xfId="0" applyNumberFormat="1"/>
    <xf numFmtId="6" fontId="0" fillId="0" borderId="0" xfId="0" applyNumberFormat="1"/>
    <xf numFmtId="44" fontId="0" fillId="0" borderId="0" xfId="0" applyNumberFormat="1" applyFont="1"/>
    <xf numFmtId="0" fontId="5" fillId="0" borderId="0" xfId="1" applyNumberFormat="1"/>
    <xf numFmtId="9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right" vertical="top"/>
    </xf>
    <xf numFmtId="8" fontId="0" fillId="0" borderId="0" xfId="0" applyNumberFormat="1" applyAlignment="1">
      <alignment horizontal="left" vertical="top"/>
    </xf>
    <xf numFmtId="0" fontId="5" fillId="0" borderId="0" xfId="1" applyAlignment="1">
      <alignment horizontal="left" vertical="top"/>
    </xf>
    <xf numFmtId="166" fontId="0" fillId="0" borderId="0" xfId="0" applyNumberFormat="1" applyAlignment="1">
      <alignment horizontal="right" vertical="top"/>
    </xf>
    <xf numFmtId="0" fontId="5" fillId="0" borderId="0" xfId="1" applyAlignment="1">
      <alignment wrapText="1"/>
    </xf>
  </cellXfs>
  <cellStyles count="2">
    <cellStyle name="Link" xfId="1" builtinId="8"/>
    <cellStyle name="Standard" xfId="0" builtinId="0"/>
  </cellStyles>
  <dxfs count="47">
    <dxf>
      <alignment horizontal="left" vertical="top" textRotation="0" wrapText="0" indent="0" justifyLastLine="0" shrinkToFit="0" readingOrder="0"/>
    </dxf>
    <dxf>
      <numFmt numFmtId="164" formatCode="#,##0.00\ &quot;€&quot;"/>
      <alignment horizontal="righ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64" formatCode="#,##0.00\ &quot;€&quot;"/>
      <alignment horizontal="righ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4" formatCode="#,##0.00\ &quot;€&quot;"/>
      <alignment horizontal="right" vertical="top" textRotation="0" wrapText="0" indent="0" justifyLastLine="0" shrinkToFit="0" readingOrder="0"/>
    </dxf>
    <dxf>
      <numFmt numFmtId="166" formatCode="0.0%"/>
      <alignment horizontal="right" vertical="top" textRotation="0" wrapText="0" indent="0" justifyLastLine="0" shrinkToFit="0" readingOrder="0"/>
    </dxf>
    <dxf>
      <numFmt numFmtId="164" formatCode="#,##0.00\ &quot;€&quot;"/>
      <alignment horizontal="right" vertical="top" textRotation="0" wrapText="0" indent="0" justifyLastLine="0" shrinkToFit="0" readingOrder="0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3" formatCode="0%"/>
    </dxf>
    <dxf>
      <numFmt numFmtId="12" formatCode="#,##0.00\ &quot;€&quot;;[Red]\-#,##0.00\ &quot;€&quot;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3" formatCode="0%"/>
    </dxf>
    <dxf>
      <numFmt numFmtId="12" formatCode="#,##0.00\ &quot;€&quot;;[Red]\-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3" formatCode="0%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3" formatCode="0%"/>
    </dxf>
    <dxf>
      <numFmt numFmtId="10" formatCode="#,##0\ &quot;€&quot;;[Red]\-#,##0\ &quot;€&quot;"/>
    </dxf>
    <dxf>
      <numFmt numFmtId="0" formatCode="General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theme="1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1"/>
        </left>
        <right style="thin">
          <color indexed="64"/>
        </right>
        <top style="thin">
          <color theme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elle8" displayName="Tabelle8" ref="B3:K12" totalsRowShown="0" headerRowBorderDxfId="46" tableBorderDxfId="45">
  <autoFilter ref="B3:K12"/>
  <tableColumns count="10">
    <tableColumn id="1" name="Kostenart" dataDxfId="44" totalsRowDxfId="43"/>
    <tableColumn id="2" name="Betrag (€)" dataDxfId="42" totalsRowDxfId="41"/>
    <tableColumn id="3" name="Einmalig " dataDxfId="40"/>
    <tableColumn id="4" name="Monatlich" dataDxfId="39"/>
    <tableColumn id="5" name="Jährlich" dataDxfId="38"/>
    <tableColumn id="6" name="Erste Kosten" dataDxfId="37"/>
    <tableColumn id="7" name="Q1" dataDxfId="36"/>
    <tableColumn id="8" name="Q1+Q2" dataDxfId="35"/>
    <tableColumn id="9" name="Jahr1" dataDxfId="34"/>
    <tableColumn id="10" name="Anbieter" dataDxfId="3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1" name="Tabelle1" displayName="Tabelle1" ref="B15:J35" totalsRowShown="0">
  <autoFilter ref="B15:J35"/>
  <tableColumns count="9">
    <tableColumn id="1" name="Produkte"/>
    <tableColumn id="2" name="Menge"/>
    <tableColumn id="4" name="Anbieter 1 (€)" dataDxfId="32"/>
    <tableColumn id="5" name="Anbieter 2 (€)"/>
    <tableColumn id="6" name="Ausgewählter Preis (€)" dataDxfId="31"/>
    <tableColumn id="7" name="MwSt-Satz (%)" dataDxfId="30"/>
    <tableColumn id="8" name="Bruttopreis (€)" dataDxfId="29">
      <calculatedColumnFormula>F16*C16</calculatedColumnFormula>
    </tableColumn>
    <tableColumn id="9" name="Nettopreis (€)" dataDxfId="28"/>
    <tableColumn id="10" name="MwSt. (€)" dataDxfId="27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9" name="Tabelle110" displayName="Tabelle110" ref="B39:K44" totalsRowShown="0">
  <autoFilter ref="B39:K44"/>
  <tableColumns count="10">
    <tableColumn id="1" name="Material"/>
    <tableColumn id="2" name="Menge"/>
    <tableColumn id="3" name="Einheit"/>
    <tableColumn id="4" name="Anbieter 1 (€)"/>
    <tableColumn id="5" name="Anbieter 2 (€)"/>
    <tableColumn id="6" name="Ausgewählter Preis (€)"/>
    <tableColumn id="7" name="MwSt-Satz (%)" dataDxfId="26"/>
    <tableColumn id="8" name="Bruttopreis (€)" dataDxfId="25">
      <calculatedColumnFormula>F40*C40</calculatedColumnFormula>
    </tableColumn>
    <tableColumn id="9" name="Nettopreis (€)" dataDxfId="24">
      <calculatedColumnFormula>I40/1.19</calculatedColumnFormula>
    </tableColumn>
    <tableColumn id="10" name="MwSt. (€)" dataDxfId="23">
      <calculatedColumnFormula>I40-(I40/1.19)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12" name="Tabelle9" displayName="Tabelle9" ref="B60:E66" totalsRowShown="0" dataDxfId="17">
  <autoFilter ref="B60:E66"/>
  <tableColumns count="4">
    <tableColumn id="1" name="Kategorie" dataDxfId="16"/>
    <tableColumn id="2" name="Beschreibung" dataDxfId="15"/>
    <tableColumn id="3" name="Betrag (€)" dataDxfId="8"/>
    <tableColumn id="4" name="Kommentar / Quelle" dataDxfId="14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10" name="Tabelle2" displayName="Tabelle2" ref="B46:K50" totalsRowShown="0">
  <autoFilter ref="B46:K50"/>
  <tableColumns count="10">
    <tableColumn id="1" name="Hilfsmittel"/>
    <tableColumn id="2" name="Menge"/>
    <tableColumn id="3" name="Einheit"/>
    <tableColumn id="4" name="Anbieter 1 (€)"/>
    <tableColumn id="5" name="Anbieter 2 (€)"/>
    <tableColumn id="6" name="Ausgewählter Preis (€)" dataDxfId="22"/>
    <tableColumn id="7" name="MwSt-Satz (%)" dataDxfId="21"/>
    <tableColumn id="8" name="Bruttopreis (€) " dataDxfId="20">
      <calculatedColumnFormula>F47*C47</calculatedColumnFormula>
    </tableColumn>
    <tableColumn id="9" name="Nettopreis (€)" dataDxfId="19">
      <calculatedColumnFormula xml:space="preserve"> I47 / 1.19</calculatedColumnFormula>
    </tableColumn>
    <tableColumn id="10" name="MwSt. (€)" dataDxfId="18">
      <calculatedColumnFormula xml:space="preserve"> I47 - (I47 / 1.19)</calculatedColumnFormula>
    </tableColumn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id="11" name="Tabelle14" displayName="Tabelle14" ref="B52:K55" totalsRowShown="0">
  <autoFilter ref="B52:K55"/>
  <tableColumns count="10">
    <tableColumn id="1" name="Werkzeug"/>
    <tableColumn id="2" name="Menge"/>
    <tableColumn id="3" name="Anbieter 1 (€)"/>
    <tableColumn id="4" name="Anbieter 2 (€)"/>
    <tableColumn id="5" name="Gebrauchtware (€)"/>
    <tableColumn id="6" name="Ausgewählter Preis (€)" dataDxfId="13"/>
    <tableColumn id="7" name="MwSt-Satz (%)" dataDxfId="12"/>
    <tableColumn id="8" name="Bruttopreis (€)" dataDxfId="11">
      <calculatedColumnFormula>F53*C53</calculatedColumnFormula>
    </tableColumn>
    <tableColumn id="9" name="Nettopreis (€)" dataDxfId="10">
      <calculatedColumnFormula>I53/1.19</calculatedColumnFormula>
    </tableColumn>
    <tableColumn id="10" name="MwSt (€)" dataDxfId="9">
      <calculatedColumnFormula>I53-(I53/1.19)</calculatedColumnFormula>
    </tableColumn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id="6" name="Tabelle1047" displayName="Tabelle1047" ref="B69:E72" totalsRowShown="0">
  <autoFilter ref="B69:E72"/>
  <tableColumns count="4">
    <tableColumn id="1" name="Quelle" dataDxfId="0"/>
    <tableColumn id="2" name="Betrag (€)" dataDxfId="1"/>
    <tableColumn id="3" name="Bedingungen / Rückzahlung" dataDxfId="2"/>
    <tableColumn id="4" name="Kommentar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id="7" name="Tabelle1168" displayName="Tabelle1168" ref="B75:F76" totalsRowShown="0">
  <autoFilter ref="B75:F76"/>
  <tableColumns count="5">
    <tableColumn id="1" name="Produkt" dataDxfId="5"/>
    <tableColumn id="2" name="Gesamtkosten pro Stück (€)" dataDxfId="6">
      <calculatedColumnFormula>J44/1000</calculatedColumnFormula>
    </tableColumn>
    <tableColumn id="3" name="Gewinnaufschlag (%)" dataDxfId="7">
      <calculatedColumnFormula>(16.8-5.39)/Tabelle1168[Gesamtkosten pro Stück (€)]</calculatedColumnFormula>
    </tableColumn>
    <tableColumn id="4" name="Verkaufspreis (€)" dataDxfId="4">
      <calculatedColumnFormula>19.99/1.19</calculatedColumnFormula>
    </tableColumn>
    <tableColumn id="5" name="Kommentar" dataDxfId="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oom.de/p/led-deckenleuchte-spica-weiss-18-w-27-cm/9242270" TargetMode="External"/><Relationship Id="rId18" Type="http://schemas.openxmlformats.org/officeDocument/2006/relationships/hyperlink" Target="https://www.hornbach.de/p/abl-100000581-energiewuerfel-mit-4x-schutzkontakt-steckdosen-ip44-stromverteiler/10731592/?marketNo=544" TargetMode="External"/><Relationship Id="rId26" Type="http://schemas.openxmlformats.org/officeDocument/2006/relationships/hyperlink" Target="https://www.otto.de/p/tribesigns-schreibtisch-160-180x80-cm-grosser-industrial-computertisch-fuer-homeoffice-S0Z7Q0AI/" TargetMode="External"/><Relationship Id="rId39" Type="http://schemas.openxmlformats.org/officeDocument/2006/relationships/hyperlink" Target="https://www.budgetstoffe.de/prym-schneiderkreide-blau.html?gad_source=1&amp;gad_campaignid=20009525966&amp;gbraid=0AAAAABVIyrMfMtwWFKsr8ScoyhhfYthDS&amp;gclid=EAIaIQobChMIncu8rpjMkgMVBbpoCR1fWTqcEAQYAyABEgIg0vD_BwE" TargetMode="External"/><Relationship Id="rId21" Type="http://schemas.openxmlformats.org/officeDocument/2006/relationships/hyperlink" Target="https://www.mediamarkt.de/de/product/_gigaset-gigaset-e290-2560101.html?storeId=68" TargetMode="External"/><Relationship Id="rId34" Type="http://schemas.openxmlformats.org/officeDocument/2006/relationships/hyperlink" Target="https://www.naehkaufhaus.de/Produkte/detail/4353/gurtband-baumwolle-fest-dunkelbraun-25mm" TargetMode="External"/><Relationship Id="rId42" Type="http://schemas.openxmlformats.org/officeDocument/2006/relationships/hyperlink" Target="https://www.amazon.de/Singer-Original-N%C3%A4hmaschinen-Sortiment-gewebte/dp/B00Y39YLCM?source=ps-sl-shoppingads-lpcontext&amp;ref_=fplfs&amp;psc=1&amp;smid=AOKPYMTGSSCII" TargetMode="External"/><Relationship Id="rId47" Type="http://schemas.openxmlformats.org/officeDocument/2006/relationships/hyperlink" Target="https://www.ebay.de/itm/257338063426?_trkparms=ispr%3D1&amp;_ul=DE&amp;amdata=enc%3A1jV8QthDqTk6iRkD6PY3HOg42&amp;campid=5339075986&amp;mkcid=1&amp;mkevt=1&amp;mkrid=707-53477-19255-0&amp;rb_itemId=257338063426&amp;rb_pgeo=DE&amp;toolid=10044&amp;var=0&amp;ff=11&amp;mkevt=1&amp;mkcid=1&amp;mkrid=707-53477-1925" TargetMode="External"/><Relationship Id="rId50" Type="http://schemas.openxmlformats.org/officeDocument/2006/relationships/table" Target="../tables/table1.xml"/><Relationship Id="rId55" Type="http://schemas.openxmlformats.org/officeDocument/2006/relationships/table" Target="../tables/table6.xml"/><Relationship Id="rId7" Type="http://schemas.openxmlformats.org/officeDocument/2006/relationships/hyperlink" Target="https://tubefittings.eu/de/werkbaenke/1212-tischgestell-200x100x80-cm-modell-4-5901138375808.html?gad_source=1&amp;gad_campaignid=22154351957&amp;gbraid=0AAAAACf4RrwEb34m4KkLqFdVZDoWBio1e&amp;gclid=EAIaIQobChMImIqs8M_EkgMVMlJBAh0NfiNFEAQYCCABEgITdfD_BwE" TargetMode="External"/><Relationship Id="rId2" Type="http://schemas.openxmlformats.org/officeDocument/2006/relationships/hyperlink" Target="https://www.naehpark.com/juki-tl-2300-sumato/10ac02300?channable=41ec6f61727469636c655f6e756d62657200313041433032333030de&amp;campaignCode=google-de&amp;gad_source=1&amp;gad_campaignid=22417545816&amp;gbraid=0AAAAAD_VY1psBR-BJeJ9ps73AZRBTzwmS&amp;gclid=EAIaIQobChMIpYDE2K_EkgMVJbpoCR0iEDJzEAQYBSABEgIiOPD_BwE" TargetMode="External"/><Relationship Id="rId16" Type="http://schemas.openxmlformats.org/officeDocument/2006/relationships/hyperlink" Target="https://produceshop.de/kuchenhocker-und-barhocker/hocker-vintage-industriell-schraubverstellbar-schwarz-aus-metall-crewi?gad_source=1&amp;gad_campaignid=23202677195&amp;gbraid=0AAAABBtu7fK33l5cr3KTe__kCYhqNsolm&amp;gclid=EAIaIQobChMIkZC1ttTEkgMVbKf9BR3TkQYrEAQYDSABEgLhwPD_BwE" TargetMode="External"/><Relationship Id="rId29" Type="http://schemas.openxmlformats.org/officeDocument/2006/relationships/hyperlink" Target="https://www.joybuy.de/dp/songmics-computerstuhl-b%C3%BCrostuhl-ergonomischer-heimstuhl-mit/10118955?siteCode=DE-Site&amp;utm_source=affiliate&amp;deep_link_sub1=affiliate&amp;utm_medium=klarna&amp;deep_link_sub2=klarna&amp;utm_campaign=de&amp;c=de&amp;af_c_id=de&amp;deep_link_sub3=de" TargetMode="External"/><Relationship Id="rId11" Type="http://schemas.openxmlformats.org/officeDocument/2006/relationships/hyperlink" Target="https://shop.retoura.de/HANSEATIC-Dampfbuegelstation-HIS1565BLD-65-bar-Dampfdruck-max-300g-min-Dampfmenge-B-Ware-sehr-gut?etcc_med=SEA&amp;etcc_par=Google&amp;etcc_cmp=GoogleAds&amp;etcc_grp=191393874162&amp;etcc_bky=&amp;etcc_mty=&amp;etcc_plc=&amp;etcc_ctv=787343518929&amp;etcc_bde=c&amp;etcc_var=EAIaIQobChMIo6DhjtLEkgMVe6n9BR3_nQkTEAQYCCABEgJAEvD_BwE&amp;gad_source=1&amp;gad_campaignid=23345128306&amp;gbraid=0AAAAACb3QBqWFGn4AFA19_3svpdU5eOQk&amp;gclid=EAIaIQobChMIo6DhjtLEkgMVe6n9BR3_nQkTEAQYCCABEgJAEvD_BwE" TargetMode="External"/><Relationship Id="rId24" Type="http://schemas.openxmlformats.org/officeDocument/2006/relationships/hyperlink" Target="https://www.mediamarkt.de/de/product/_epson-workforce-wf-2935dwf-tintenstrahl-drucker-wlan-2831633.html?storeId=&amp;utm_source=google&amp;utm_medium=cpc&amp;utm_campaign=RT_shopping_na_nsp_na_PLA+-+bluePortal+3+PMax&amp;gclsrc=aw.ds&amp;gad_source=1&amp;gad_campaignid=19775638035&amp;gbraid=0AAAAADh5KajrrGpCLUnzotTQdQFGHypRx&amp;gclid=EAIaIQobChMIuaTpoOnEkgMVKW9BAh08yymTEAQYBSABEgLJCPD_BwE" TargetMode="External"/><Relationship Id="rId32" Type="http://schemas.openxmlformats.org/officeDocument/2006/relationships/hyperlink" Target="https://www.amazon.de/StoffBook-NYLONSTOFF-CORDURA-TASCHEN-schwarz/dp/B06Y3VNJ2G?source=ps-sl-shoppingads-lpcontext&amp;ref_=fplfs&amp;smid=A3TA48NNWQS53D&amp;th=1" TargetMode="External"/><Relationship Id="rId37" Type="http://schemas.openxmlformats.org/officeDocument/2006/relationships/hyperlink" Target="https://www.namensbaender.de/kunstleder-etiketten-handmade-with-love?pk_campaign=google-de-pmax-shopping-leder-kunstleder-etiketten&amp;pk_kwd=&amp;gad_source=1&amp;gad_campaignid=23458278382&amp;gbraid=0AAAAAD_NykPzqGW-ekUA08op6K3JCELAf&amp;gclid=EAIaIQobChMI8NjHmJfMkgMVAE1BAh0MoyjxEAQYBCABEgJnIvD_BwE" TargetMode="External"/><Relationship Id="rId40" Type="http://schemas.openxmlformats.org/officeDocument/2006/relationships/hyperlink" Target="https://www.naehkaufhaus.de/Produkte/detail/11504/stoffklammern-stoff-clips-breit-bunt-gemischt?kid=1&amp;agid=1&amp;gad_source=1&amp;gad_campaignid=21667264540&amp;gbraid=0AAAAADiCe43BOf7LHVzuL82q2XKXuJOp1&amp;gclid=EAIaIQobChMIyLyG-ZjMkgMV4mZBAh3DXjH3EAQYAiABEgK5hvD_BwE" TargetMode="External"/><Relationship Id="rId45" Type="http://schemas.openxmlformats.org/officeDocument/2006/relationships/hyperlink" Target="https://www.naehkaufhaus.de/Produkte/detail/2857/nahtauftrenner-62mm?kid=1&amp;agid=1&amp;gad_source=1&amp;gad_campaignid=21667264540&amp;gbraid=0AAAAADiCe43BOf7LHVzuL82q2XKXuJOp1&amp;gclid=EAIaIQobChMIqoi-qZvMkgMVNJKDBx0MiCHQEAQYASABEgIVOPD_BwE" TargetMode="External"/><Relationship Id="rId53" Type="http://schemas.openxmlformats.org/officeDocument/2006/relationships/table" Target="../tables/table4.xml"/><Relationship Id="rId5" Type="http://schemas.openxmlformats.org/officeDocument/2006/relationships/hyperlink" Target="https://www.vevor.de/naehmaschinen-c_11158/vevor-overlock-naehmaschine-1250-stiche-pro-minute-3-und-4-faden-faehig-mit-led-licht-starken-saugfuessen-robuste-naehmaschine-mit-metallrahmen-fuer-verschiedene-stoffe-weiss-p_010448162217?adp=gmc&amp;country=DE&amp;utm_source=google&amp;utm_medium=cpc&amp;utm_id=20402659192&amp;ad_group=155553888950&amp;ad_id=666853858077&amp;utm_term=&amp;gad_source=1&amp;gad_campaignid=20402659192&amp;gbraid=0AAAAACTUicpI2SDE_CMo7nR-9NJOSsNgO&amp;gclid=EAIaIQobChMI7syB8c3EkgMV66n9BR1dNQ6kEAQYBSABEgKr_fD_BwE" TargetMode="External"/><Relationship Id="rId19" Type="http://schemas.openxmlformats.org/officeDocument/2006/relationships/hyperlink" Target="https://www.hhl-schwerlastregale.de/gitterrahmen-fur-paletten-h1600-mm-blau?gad_source=1&amp;gad_campaignid=21377299179&amp;gbraid=0AAAAA9rFZK0HOWuwxBhVjOuRSiBXlUIYh&amp;gclid=EAIaIQobChMIqbCH6tbEkgMV-X5BAh3zrBwHEAQYByABEgIdGvD_BwE" TargetMode="External"/><Relationship Id="rId4" Type="http://schemas.openxmlformats.org/officeDocument/2006/relationships/hyperlink" Target="https://www.otto.de/p/singer-freiarm-naehmaschine-m2105-8-programme-C1130596190/" TargetMode="External"/><Relationship Id="rId9" Type="http://schemas.openxmlformats.org/officeDocument/2006/relationships/hyperlink" Target="https://www.amazon.de/dp/B00U7H39F4?tag=track-ecpc2-de-105447-21&amp;linkCode=ogi&amp;th=1&amp;language=de_DE&amp;ascsubtag=bnSEP43c5vjmlaqbol3" TargetMode="External"/><Relationship Id="rId14" Type="http://schemas.openxmlformats.org/officeDocument/2006/relationships/hyperlink" Target="https://www.naehwelt-flach.de/daylight-led-naehmaschinen-lampe-mit-schwanenhals.html?gad_source=1&amp;gad_campaignid=1541083669&amp;gbraid=0AAAAAD_lj6kZHhmY4-yUf-9nriKGb1hLd&amp;gclid=EAIaIQobChMIjoWL0tPEkgMVoDoGAB3GnCraEAQYByABEgJBTPD_BwE" TargetMode="External"/><Relationship Id="rId22" Type="http://schemas.openxmlformats.org/officeDocument/2006/relationships/hyperlink" Target="https://www.saturn.de/de/product/_panasonic-kx-tgj-320-gb-2005893.html?utm_source=google&amp;utm_medium=seo-product%20feed&amp;srsltid=AfmBOorZoQJ_U8q1y3Ar_oOSO9BTM3vRS5gtN6JGI-y5Tu4g7vXw6SdQ-so" TargetMode="External"/><Relationship Id="rId27" Type="http://schemas.openxmlformats.org/officeDocument/2006/relationships/hyperlink" Target="https://www.amazon.de/m%C3%B6belando-Schreibtisch-Computertisch-Arbeitstisch-Laptoptisch/dp/B084MJ7629?source=ps-sl-shoppingads-lpcontext&amp;ref_=fplfs&amp;smid=A2E9QZMET6SJ7&amp;th=1" TargetMode="External"/><Relationship Id="rId30" Type="http://schemas.openxmlformats.org/officeDocument/2006/relationships/hyperlink" Target="https://www.tchibo.de/products/210846541020/lets-brew-elegant?article_id=114849621857&amp;gad_source=1&amp;gad_campaignid=2057900871&amp;gbraid=0AAAAADD5SAIqw_zvQQ5xEaIKy8hveMFlP&amp;gclid=EAIaIQobChMIqvmxtevEkgMVoXJBAh0V5zDxEAQYBSABEgL2tPD_BwE" TargetMode="External"/><Relationship Id="rId35" Type="http://schemas.openxmlformats.org/officeDocument/2006/relationships/hyperlink" Target="https://www.alles-fuer-selbermacher.de/1-Rolle-Overlockgarn---Kone---Braun-0625?path=" TargetMode="External"/><Relationship Id="rId43" Type="http://schemas.openxmlformats.org/officeDocument/2006/relationships/hyperlink" Target="https://www.hornbach.de/p/naehmaschinen-nadeln-universal-nr-70-80-90-100-10-stk/10723149/?marketNo=544" TargetMode="External"/><Relationship Id="rId48" Type="http://schemas.openxmlformats.org/officeDocument/2006/relationships/hyperlink" Target="https://xerb.de/preisliste/online-marketing-performance-marketing-social-media/" TargetMode="External"/><Relationship Id="rId56" Type="http://schemas.openxmlformats.org/officeDocument/2006/relationships/table" Target="../tables/table7.xml"/><Relationship Id="rId8" Type="http://schemas.openxmlformats.org/officeDocument/2006/relationships/hyperlink" Target="https://www.creazon.com/Ausstellungsmoebel-RMF-Zuschneidetisch-Craft-Space-in-Eiche-Pegasus/043?kampagne=1&amp;gad_source=1&amp;gad_campaignid=21650803351&amp;gbraid=0AAAAACUoezBwkSmseWJN1KPCA_yIRfV8V&amp;gclid=EAIaIQobChMImIqs8M_EkgMVMlJBAh0NfiNFEAQYBCABEgLYs_D_BwE" TargetMode="External"/><Relationship Id="rId51" Type="http://schemas.openxmlformats.org/officeDocument/2006/relationships/table" Target="../tables/table2.xml"/><Relationship Id="rId3" Type="http://schemas.openxmlformats.org/officeDocument/2006/relationships/hyperlink" Target="https://www.cyberport.de/haushalt/bodenpflege-reiniger/zubehoer/medion/pdp/kb07-005/medion-md18205-freiarm-naehmaschine.html?APID=406&amp;campaign=18127361197&amp;gad_campaignid=17336398698&amp;gad_source=1&amp;gbraid=0AAAAADtQIJx5HGRYgSxxpsu_orHOfBahe&amp;gclid=EAIaIQobChMI7qSFm8jEkgMVlab9BR01BRGDEAQYBSABEgL6CfD_BwE&amp;prodid=KB07-005" TargetMode="External"/><Relationship Id="rId12" Type="http://schemas.openxmlformats.org/officeDocument/2006/relationships/hyperlink" Target="https://www.lampe.de/sofo-deckenleuchte-h3745892.html" TargetMode="External"/><Relationship Id="rId17" Type="http://schemas.openxmlformats.org/officeDocument/2006/relationships/hyperlink" Target="https://www.amazon.de/Stromverteiler-3x230V-Verzinktkette-Verteiler-Kreuzverteiler/dp/B071ZL3T5Z?source=ps-sl-shoppingads-lpcontext&amp;ref_=fplfs&amp;smid=A2VH3FOVFHH3FB&amp;th=1" TargetMode="External"/><Relationship Id="rId25" Type="http://schemas.openxmlformats.org/officeDocument/2006/relationships/hyperlink" Target="https://moebel.check24.de/productpreview/B5828887776817?gclid=EAIaIQobChMIt6T3--nEkgMVAE1BAh3NdSxhEAQYAiABEgJkHvD_BwE&amp;gbraid=0AAAAABZ77uL7rbhsGBb9gUAucwnex860d" TargetMode="External"/><Relationship Id="rId33" Type="http://schemas.openxmlformats.org/officeDocument/2006/relationships/hyperlink" Target="https://www.e-stoklasa.de/leder-gurtband-taschenhenkel-breite-10-mm-meterware-x160817?barva=281826" TargetMode="External"/><Relationship Id="rId38" Type="http://schemas.openxmlformats.org/officeDocument/2006/relationships/hyperlink" Target="https://www.planenlager.de/Schneiderkreide?gad_source=1&amp;gad_campaignid=17567490629&amp;gbraid=0AAAAADof5xIql23idHF5ElbaEg-IM0tWp&amp;gclid=EAIaIQobChMIncu8rpjMkgMVBbpoCR1fWTqcEAQYASABEgLbTvD_BwE" TargetMode="External"/><Relationship Id="rId46" Type="http://schemas.openxmlformats.org/officeDocument/2006/relationships/hyperlink" Target="https://www.naehpark.com/prym-nahttrenner-klein/70ed611205?channable=41a8a361727469636c655f6e756d626572003730454436313132303524&amp;campaignCode=google-de&amp;srsltid=AfmBOopnoFaHtnuiUBmv2bvFv2sK3KMpxzirfkuxnP7j5AFcQhSpvWqio8M" TargetMode="External"/><Relationship Id="rId20" Type="http://schemas.openxmlformats.org/officeDocument/2006/relationships/hyperlink" Target="https://www.der-rollende-shop.de/Rollbehaelter-1350-mm-3-seitig-verzinkt?srsltid=AfmBOorCfCXcJPhqnnMGEPCcb43Z-_1DClN9fMXctoDVrEgKLSEusBMhhgI" TargetMode="External"/><Relationship Id="rId41" Type="http://schemas.openxmlformats.org/officeDocument/2006/relationships/hyperlink" Target="https://diezauberscheren.de/stoffclips/set-mit-20-stoffklammern-27-x-1-cm-pony-9686.html" TargetMode="External"/><Relationship Id="rId54" Type="http://schemas.openxmlformats.org/officeDocument/2006/relationships/table" Target="../tables/table5.xml"/><Relationship Id="rId1" Type="http://schemas.openxmlformats.org/officeDocument/2006/relationships/hyperlink" Target="https://www.senci.eu/Industrienaehmaschinen/SIRUBA/Industrie-Schnellnaeher-SIRUBA-DL720G-BM1-1-komplett-mit-Tisch-Gestell::3296.html" TargetMode="External"/><Relationship Id="rId6" Type="http://schemas.openxmlformats.org/officeDocument/2006/relationships/hyperlink" Target="https://www.home24.de/alle-schreibtische/?utm_price=8499&amp;qv_child=000000003001688727&amp;utm_content=google_shopping_mp&amp;gclid_bkp=EAIaIQobChMIitau187EkgMVhkFBAh1LYSDXEAQYByABEgLCoPD_BwE&amp;gad_source=1&amp;gad_campaignid=21374681980&amp;gbraid=0AAAAADxWvE8svAkKB7slAVfgSSQ_Tse-Z&amp;gclid=EAIaIQobChMIitau187EkgMVhkFBAh1LYSDXEAQYByABEgLCoPD_BwE" TargetMode="External"/><Relationship Id="rId15" Type="http://schemas.openxmlformats.org/officeDocument/2006/relationships/hyperlink" Target="https://www.wolkdirekt.com/TS4930-kaufen.html?ed=6&amp;vp=S2x1&amp;camp=googlebase&amp;gad_source=1&amp;gad_campaignid=13170499359&amp;gbraid=0AAAAAD8axH8VR927z_2A0Aouw8gjIA62-&amp;gclid=EAIaIQobChMIkZC1ttTEkgMVbKf9BR3TkQYrEAQYBCABEgIaWPD_BwE" TargetMode="External"/><Relationship Id="rId23" Type="http://schemas.openxmlformats.org/officeDocument/2006/relationships/hyperlink" Target="https://www.amazon.de/Canon-Farbtintenstrahl-Multifunktionsger%C3%A4t-Kopierer-Cloud-Link/dp/B07WV4XBSP?source=ps-sl-shoppingads-lpcontext&amp;ref_=fplfs&amp;smid=A2UOUL8U7ZBPFE&amp;th=1" TargetMode="External"/><Relationship Id="rId28" Type="http://schemas.openxmlformats.org/officeDocument/2006/relationships/hyperlink" Target="https://jysk.de/buro/burostuhle/buerostuhl-billum-schwarzes-mesh" TargetMode="External"/><Relationship Id="rId36" Type="http://schemas.openxmlformats.org/officeDocument/2006/relationships/hyperlink" Target="https://www.packlinq.de/products/nahgarn-l-1000-braun-polyester-915m" TargetMode="External"/><Relationship Id="rId49" Type="http://schemas.openxmlformats.org/officeDocument/2006/relationships/printerSettings" Target="../printerSettings/printerSettings1.bin"/><Relationship Id="rId57" Type="http://schemas.openxmlformats.org/officeDocument/2006/relationships/table" Target="../tables/table8.xml"/><Relationship Id="rId10" Type="http://schemas.openxmlformats.org/officeDocument/2006/relationships/hyperlink" Target="https://www.home-appliances.philips/de/de/p/GC6815_20?origin=7_5472784425_22977127591__&amp;gclsrc=aw.ds&amp;gad_source=1&amp;gad_campaignid=22977128602&amp;gbraid=0AAAAABxV4pJSWLVICxTBuK9rBLWi-9wJu&amp;gclid=EAIaIQobChMIo6DhjtLEkgMVe6n9BR3_nQkTEAQYASABEgJyZvD_BwE" TargetMode="External"/><Relationship Id="rId31" Type="http://schemas.openxmlformats.org/officeDocument/2006/relationships/hyperlink" Target="https://www.snaply.de/rucksack-und-taschenstoff-simon-hellgrau/a-68030785/?ReferrerID=7&amp;srsltid=AfmBOor5oNQOdQoM3WVDtw4Gn8kH5Rwtfm7OrGvqDmtY2Pa_2KJL7PTdC1Y" TargetMode="External"/><Relationship Id="rId44" Type="http://schemas.openxmlformats.org/officeDocument/2006/relationships/hyperlink" Target="https://www.bueromarkt-ag.de/schneiderschere_rayher_8953700_21cm,p-8953700,l-google-prd,pd-b2c.html?srsltid=AfmBOopfM9Q7zvsiBxPnA4ewJDdNceH4SQP6jRtSS63CXIm8eSVyvMZvO2Q" TargetMode="External"/><Relationship Id="rId52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tabSelected="1" zoomScale="70" zoomScaleNormal="70" workbookViewId="0">
      <selection activeCell="H66" sqref="H66"/>
    </sheetView>
  </sheetViews>
  <sheetFormatPr baseColWidth="10" defaultRowHeight="14.4" x14ac:dyDescent="0.3"/>
  <cols>
    <col min="2" max="2" width="31.33203125" customWidth="1"/>
    <col min="3" max="3" width="31" customWidth="1"/>
    <col min="4" max="4" width="34" customWidth="1"/>
    <col min="5" max="5" width="30.77734375" customWidth="1"/>
    <col min="6" max="6" width="25.21875" customWidth="1"/>
    <col min="7" max="7" width="31.6640625" customWidth="1"/>
    <col min="8" max="8" width="15.6640625" customWidth="1"/>
    <col min="9" max="9" width="16.21875" customWidth="1"/>
    <col min="10" max="10" width="17.6640625" customWidth="1"/>
    <col min="11" max="11" width="25.44140625" customWidth="1"/>
    <col min="12" max="12" width="22.109375" customWidth="1"/>
  </cols>
  <sheetData>
    <row r="1" spans="1:13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">
      <c r="A2" s="3"/>
      <c r="B2" s="22" t="s">
        <v>17</v>
      </c>
      <c r="C2" s="22"/>
      <c r="D2" s="22"/>
      <c r="E2" s="22"/>
      <c r="F2" s="22"/>
      <c r="G2" s="22"/>
      <c r="H2" s="22"/>
      <c r="I2" s="22"/>
      <c r="J2" s="22"/>
      <c r="K2" s="22"/>
      <c r="L2" s="3"/>
      <c r="M2" s="3"/>
    </row>
    <row r="3" spans="1:13" x14ac:dyDescent="0.3">
      <c r="A3" s="3"/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20</v>
      </c>
      <c r="L3" s="3"/>
      <c r="M3" s="3"/>
    </row>
    <row r="4" spans="1:13" x14ac:dyDescent="0.3">
      <c r="A4" s="3"/>
      <c r="B4" s="2" t="s">
        <v>10</v>
      </c>
      <c r="C4" s="5">
        <v>1827.36</v>
      </c>
      <c r="D4" s="4"/>
      <c r="E4" s="1">
        <v>2184</v>
      </c>
      <c r="F4" s="1"/>
      <c r="G4" s="1">
        <f>D4+E4</f>
        <v>2184</v>
      </c>
      <c r="H4" s="1">
        <f>E4*3+(F4/4)</f>
        <v>6552</v>
      </c>
      <c r="I4" s="1">
        <f>E4*6+(F4/2)</f>
        <v>13104</v>
      </c>
      <c r="J4" s="1">
        <f>D4+(E4*12)+F4</f>
        <v>26208</v>
      </c>
      <c r="K4" s="1"/>
      <c r="L4" s="3"/>
      <c r="M4" s="3"/>
    </row>
    <row r="5" spans="1:13" x14ac:dyDescent="0.3">
      <c r="A5" s="3"/>
      <c r="B5" t="s">
        <v>11</v>
      </c>
      <c r="C5" s="1">
        <v>4606</v>
      </c>
      <c r="D5" s="1">
        <v>4606</v>
      </c>
      <c r="E5" s="1"/>
      <c r="F5" s="1"/>
      <c r="G5" s="1">
        <f t="shared" ref="G5:G10" si="0">D5+E5</f>
        <v>4606</v>
      </c>
      <c r="H5" s="1">
        <f t="shared" ref="H5:H10" si="1">E5*3+(F5/4)</f>
        <v>0</v>
      </c>
      <c r="I5" s="1">
        <f t="shared" ref="I5:I11" si="2">E5*6+(F5/2)</f>
        <v>0</v>
      </c>
      <c r="J5" s="1">
        <f t="shared" ref="J5:J11" si="3">D5+(E5*12)+F5</f>
        <v>4606</v>
      </c>
      <c r="K5" s="1"/>
      <c r="L5" s="3"/>
      <c r="M5" s="3"/>
    </row>
    <row r="6" spans="1:13" x14ac:dyDescent="0.3">
      <c r="A6" s="3"/>
      <c r="B6" t="s">
        <v>12</v>
      </c>
      <c r="C6" s="1">
        <v>398.98</v>
      </c>
      <c r="D6" s="1"/>
      <c r="E6" s="1"/>
      <c r="F6" s="1">
        <v>398.98</v>
      </c>
      <c r="G6" s="1">
        <f t="shared" si="0"/>
        <v>0</v>
      </c>
      <c r="H6" s="1">
        <f t="shared" si="1"/>
        <v>99.745000000000005</v>
      </c>
      <c r="I6" s="1">
        <f t="shared" si="2"/>
        <v>199.49</v>
      </c>
      <c r="J6" s="1">
        <f t="shared" si="3"/>
        <v>398.98</v>
      </c>
      <c r="K6" s="1" t="s">
        <v>21</v>
      </c>
      <c r="L6" s="3"/>
      <c r="M6" s="3"/>
    </row>
    <row r="7" spans="1:13" x14ac:dyDescent="0.3">
      <c r="A7" s="3"/>
      <c r="B7" t="s">
        <v>13</v>
      </c>
      <c r="C7" s="1">
        <v>44.99</v>
      </c>
      <c r="D7" s="1">
        <v>49.99</v>
      </c>
      <c r="E7" s="1">
        <v>44.99</v>
      </c>
      <c r="F7" s="1"/>
      <c r="G7" s="1">
        <f t="shared" si="0"/>
        <v>94.98</v>
      </c>
      <c r="H7" s="1">
        <f>E7*3+(F7/4)</f>
        <v>134.97</v>
      </c>
      <c r="I7" s="1">
        <f t="shared" si="2"/>
        <v>269.94</v>
      </c>
      <c r="J7" s="1">
        <f t="shared" si="3"/>
        <v>589.87</v>
      </c>
      <c r="K7" s="1" t="s">
        <v>19</v>
      </c>
      <c r="L7" s="3"/>
      <c r="M7" s="3"/>
    </row>
    <row r="8" spans="1:13" s="8" customFormat="1" x14ac:dyDescent="0.3">
      <c r="A8" s="7"/>
      <c r="B8" s="10" t="s">
        <v>14</v>
      </c>
      <c r="C8" s="11">
        <v>0</v>
      </c>
      <c r="D8" s="11"/>
      <c r="E8" s="11"/>
      <c r="F8" s="11"/>
      <c r="G8" s="11">
        <f t="shared" si="0"/>
        <v>0</v>
      </c>
      <c r="H8" s="11">
        <f t="shared" si="1"/>
        <v>0</v>
      </c>
      <c r="I8" s="11">
        <f t="shared" si="2"/>
        <v>0</v>
      </c>
      <c r="J8" s="11">
        <f t="shared" si="3"/>
        <v>0</v>
      </c>
      <c r="K8" s="6"/>
      <c r="L8" s="7"/>
      <c r="M8" s="7"/>
    </row>
    <row r="9" spans="1:13" x14ac:dyDescent="0.3">
      <c r="A9" s="3"/>
      <c r="B9" t="s">
        <v>15</v>
      </c>
      <c r="C9" s="1">
        <v>0</v>
      </c>
      <c r="D9" s="6"/>
      <c r="E9" s="1"/>
      <c r="F9" s="1"/>
      <c r="G9" s="1">
        <f t="shared" si="0"/>
        <v>0</v>
      </c>
      <c r="H9" s="1">
        <f t="shared" si="1"/>
        <v>0</v>
      </c>
      <c r="I9" s="1">
        <f t="shared" si="2"/>
        <v>0</v>
      </c>
      <c r="J9" s="1">
        <f t="shared" si="3"/>
        <v>0</v>
      </c>
      <c r="K9" s="1"/>
      <c r="L9" s="3"/>
      <c r="M9" s="3"/>
    </row>
    <row r="10" spans="1:13" x14ac:dyDescent="0.3">
      <c r="A10" s="3"/>
      <c r="B10" t="s">
        <v>16</v>
      </c>
      <c r="C10" s="1">
        <v>199.2</v>
      </c>
      <c r="D10" s="1"/>
      <c r="E10" s="1">
        <v>199.2</v>
      </c>
      <c r="F10" s="1"/>
      <c r="G10" s="1">
        <f t="shared" si="0"/>
        <v>199.2</v>
      </c>
      <c r="H10" s="1">
        <f t="shared" si="1"/>
        <v>597.59999999999991</v>
      </c>
      <c r="I10" s="1">
        <f t="shared" si="2"/>
        <v>1195.1999999999998</v>
      </c>
      <c r="J10" s="1">
        <f t="shared" si="3"/>
        <v>2390.3999999999996</v>
      </c>
      <c r="K10" s="1" t="s">
        <v>22</v>
      </c>
      <c r="L10" s="3"/>
      <c r="M10" s="3"/>
    </row>
    <row r="11" spans="1:13" x14ac:dyDescent="0.3">
      <c r="A11" s="3"/>
      <c r="B11" t="s">
        <v>18</v>
      </c>
      <c r="C11" s="1">
        <v>300</v>
      </c>
      <c r="D11" s="1"/>
      <c r="E11" s="1"/>
      <c r="F11" s="1"/>
      <c r="G11" s="1">
        <f>D11+E11</f>
        <v>0</v>
      </c>
      <c r="H11" s="1">
        <f>E11*3+(F11/4)</f>
        <v>0</v>
      </c>
      <c r="I11" s="1">
        <f t="shared" si="2"/>
        <v>0</v>
      </c>
      <c r="J11" s="1">
        <f t="shared" si="3"/>
        <v>0</v>
      </c>
      <c r="K11" s="1"/>
      <c r="L11" s="3"/>
      <c r="M11" s="3"/>
    </row>
    <row r="12" spans="1:13" x14ac:dyDescent="0.3">
      <c r="A12" s="3"/>
      <c r="B12" s="2" t="s">
        <v>0</v>
      </c>
      <c r="C12" s="4"/>
      <c r="D12" s="4">
        <f t="shared" ref="D12:I12" si="4">D4+D5+D6+D7+D8+D9+D10+D11</f>
        <v>4655.99</v>
      </c>
      <c r="E12" s="4">
        <f t="shared" si="4"/>
        <v>2428.1899999999996</v>
      </c>
      <c r="F12" s="4">
        <f t="shared" si="4"/>
        <v>398.98</v>
      </c>
      <c r="G12" s="4">
        <f t="shared" si="4"/>
        <v>7084.1799999999994</v>
      </c>
      <c r="H12" s="4">
        <f t="shared" si="4"/>
        <v>7384.3150000000005</v>
      </c>
      <c r="I12" s="4">
        <f t="shared" si="4"/>
        <v>14768.630000000001</v>
      </c>
      <c r="J12" s="4">
        <f>J4+J5+J6+J7+J8+J9+J10+J11</f>
        <v>34193.25</v>
      </c>
      <c r="K12" s="1"/>
      <c r="L12" s="3"/>
      <c r="M12" s="3"/>
    </row>
    <row r="13" spans="1:13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3"/>
      <c r="B14" s="22" t="s">
        <v>31</v>
      </c>
      <c r="C14" s="22"/>
      <c r="D14" s="22"/>
      <c r="E14" s="22"/>
      <c r="F14" s="22"/>
      <c r="G14" s="22"/>
      <c r="H14" s="22"/>
      <c r="I14" s="22"/>
      <c r="J14" s="22"/>
      <c r="K14" s="3"/>
      <c r="L14" s="3"/>
      <c r="M14" s="3"/>
    </row>
    <row r="15" spans="1:13" x14ac:dyDescent="0.3">
      <c r="A15" s="3"/>
      <c r="B15" t="s">
        <v>32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28</v>
      </c>
      <c r="I15" t="s">
        <v>29</v>
      </c>
      <c r="J15" t="s">
        <v>30</v>
      </c>
      <c r="K15" s="3"/>
      <c r="L15" s="3"/>
      <c r="M15" s="3"/>
    </row>
    <row r="16" spans="1:13" x14ac:dyDescent="0.3">
      <c r="A16" s="3"/>
      <c r="B16" s="2" t="s">
        <v>34</v>
      </c>
      <c r="C16" s="2">
        <v>3</v>
      </c>
      <c r="D16" s="12" t="s">
        <v>51</v>
      </c>
      <c r="E16" s="13" t="s">
        <v>50</v>
      </c>
      <c r="F16" s="14">
        <v>1195</v>
      </c>
      <c r="G16">
        <v>19</v>
      </c>
      <c r="H16" s="14">
        <f>F16*C16</f>
        <v>3585</v>
      </c>
      <c r="I16" s="14">
        <f>H16/1.19</f>
        <v>3012.6050420168067</v>
      </c>
      <c r="J16" s="14">
        <f>ROUND(H16-(H16/1.19), 2)</f>
        <v>572.39</v>
      </c>
      <c r="K16" s="3"/>
      <c r="L16" s="3"/>
      <c r="M16" s="3"/>
    </row>
    <row r="17" spans="1:13" x14ac:dyDescent="0.3">
      <c r="A17" s="3"/>
      <c r="B17" t="s">
        <v>35</v>
      </c>
      <c r="C17" s="2">
        <v>1</v>
      </c>
      <c r="D17" s="13" t="s">
        <v>52</v>
      </c>
      <c r="E17" s="13" t="s">
        <v>53</v>
      </c>
      <c r="F17" s="14">
        <v>98.95</v>
      </c>
      <c r="G17">
        <v>19</v>
      </c>
      <c r="H17" s="14">
        <f>F17*C17</f>
        <v>98.95</v>
      </c>
      <c r="I17" s="14">
        <f>H17/1.19</f>
        <v>83.151260504201687</v>
      </c>
      <c r="J17" s="14">
        <f t="shared" ref="J17:J25" si="5">H17-(H17/1.19)</f>
        <v>15.798739495798316</v>
      </c>
      <c r="K17" s="3"/>
      <c r="L17" s="3"/>
      <c r="M17" s="3"/>
    </row>
    <row r="18" spans="1:13" x14ac:dyDescent="0.3">
      <c r="A18" s="3"/>
      <c r="B18" t="s">
        <v>36</v>
      </c>
      <c r="C18">
        <v>1</v>
      </c>
      <c r="D18" s="13" t="s">
        <v>54</v>
      </c>
      <c r="E18" s="13" t="s">
        <v>55</v>
      </c>
      <c r="F18" s="14">
        <v>131.99</v>
      </c>
      <c r="G18">
        <v>19</v>
      </c>
      <c r="H18" s="14">
        <f>F18*C18</f>
        <v>131.99</v>
      </c>
      <c r="I18" s="14">
        <f t="shared" ref="I18:I25" si="6">H18/1.19</f>
        <v>110.91596638655463</v>
      </c>
      <c r="J18" s="14">
        <f t="shared" si="5"/>
        <v>21.07403361344538</v>
      </c>
      <c r="K18" s="3"/>
      <c r="L18" s="3"/>
      <c r="M18" s="3"/>
    </row>
    <row r="19" spans="1:13" x14ac:dyDescent="0.3">
      <c r="A19" s="3"/>
      <c r="B19" t="s">
        <v>49</v>
      </c>
      <c r="C19">
        <v>5</v>
      </c>
      <c r="D19" s="13" t="s">
        <v>56</v>
      </c>
      <c r="E19" s="13" t="s">
        <v>57</v>
      </c>
      <c r="F19" s="14">
        <v>87.99</v>
      </c>
      <c r="G19">
        <v>19</v>
      </c>
      <c r="H19" s="14">
        <f>F19*C19</f>
        <v>439.95</v>
      </c>
      <c r="I19" s="14">
        <f t="shared" si="6"/>
        <v>369.70588235294116</v>
      </c>
      <c r="J19" s="14">
        <f t="shared" si="5"/>
        <v>70.244117647058829</v>
      </c>
      <c r="K19" s="3"/>
      <c r="L19" s="3"/>
      <c r="M19" s="3"/>
    </row>
    <row r="20" spans="1:13" x14ac:dyDescent="0.3">
      <c r="A20" s="3"/>
      <c r="B20" t="s">
        <v>37</v>
      </c>
      <c r="C20">
        <v>1</v>
      </c>
      <c r="D20" s="13" t="s">
        <v>59</v>
      </c>
      <c r="E20" s="13" t="s">
        <v>58</v>
      </c>
      <c r="F20" s="14">
        <v>170</v>
      </c>
      <c r="G20">
        <v>19</v>
      </c>
      <c r="H20" s="14">
        <f>F20*C20</f>
        <v>170</v>
      </c>
      <c r="I20" s="14">
        <f t="shared" si="6"/>
        <v>142.85714285714286</v>
      </c>
      <c r="J20" s="14">
        <f t="shared" si="5"/>
        <v>27.142857142857139</v>
      </c>
      <c r="K20" s="3"/>
      <c r="L20" s="3"/>
      <c r="M20" s="3"/>
    </row>
    <row r="21" spans="1:13" x14ac:dyDescent="0.3">
      <c r="A21" s="3"/>
      <c r="B21" t="s">
        <v>33</v>
      </c>
      <c r="C21">
        <v>1</v>
      </c>
      <c r="D21" s="13" t="s">
        <v>61</v>
      </c>
      <c r="E21" s="13" t="s">
        <v>60</v>
      </c>
      <c r="F21" s="14">
        <v>130.03</v>
      </c>
      <c r="G21">
        <v>19</v>
      </c>
      <c r="H21" s="14">
        <f t="shared" ref="H21:H30" si="7">F21*C21</f>
        <v>130.03</v>
      </c>
      <c r="I21" s="14">
        <f t="shared" si="6"/>
        <v>109.26890756302521</v>
      </c>
      <c r="J21" s="14">
        <f t="shared" si="5"/>
        <v>20.761092436974792</v>
      </c>
      <c r="K21" s="7"/>
      <c r="L21" s="7"/>
      <c r="M21" s="7"/>
    </row>
    <row r="22" spans="1:13" x14ac:dyDescent="0.3">
      <c r="A22" s="3"/>
      <c r="B22" t="s">
        <v>38</v>
      </c>
      <c r="C22">
        <v>1</v>
      </c>
      <c r="D22" s="13" t="s">
        <v>62</v>
      </c>
      <c r="E22" s="13" t="s">
        <v>63</v>
      </c>
      <c r="F22" s="14">
        <v>33.99</v>
      </c>
      <c r="G22">
        <v>19</v>
      </c>
      <c r="H22" s="14">
        <f t="shared" si="7"/>
        <v>33.99</v>
      </c>
      <c r="I22" s="14">
        <f t="shared" si="6"/>
        <v>28.563025210084035</v>
      </c>
      <c r="J22" s="14">
        <f t="shared" si="5"/>
        <v>5.4269747899159668</v>
      </c>
      <c r="K22" s="3"/>
      <c r="L22" s="3"/>
      <c r="M22" s="3"/>
    </row>
    <row r="23" spans="1:13" x14ac:dyDescent="0.3">
      <c r="A23" s="3"/>
      <c r="B23" t="s">
        <v>39</v>
      </c>
      <c r="C23">
        <v>10</v>
      </c>
      <c r="D23" s="13" t="s">
        <v>64</v>
      </c>
      <c r="E23" s="13" t="s">
        <v>65</v>
      </c>
      <c r="F23" s="14">
        <v>9.99</v>
      </c>
      <c r="G23">
        <v>19</v>
      </c>
      <c r="H23" s="14">
        <f t="shared" si="7"/>
        <v>99.9</v>
      </c>
      <c r="I23" s="14">
        <f t="shared" si="6"/>
        <v>83.94957983193278</v>
      </c>
      <c r="J23" s="14">
        <f t="shared" si="5"/>
        <v>15.950420168067225</v>
      </c>
      <c r="K23" s="3"/>
      <c r="L23" s="3"/>
      <c r="M23" s="3"/>
    </row>
    <row r="24" spans="1:13" x14ac:dyDescent="0.3">
      <c r="A24" s="3"/>
      <c r="B24" t="s">
        <v>40</v>
      </c>
      <c r="C24">
        <v>3</v>
      </c>
      <c r="D24" s="13" t="s">
        <v>66</v>
      </c>
      <c r="E24" s="13" t="s">
        <v>67</v>
      </c>
      <c r="F24" s="14">
        <v>34.9</v>
      </c>
      <c r="G24">
        <v>19</v>
      </c>
      <c r="H24" s="14">
        <f t="shared" si="7"/>
        <v>104.69999999999999</v>
      </c>
      <c r="I24" s="14">
        <f t="shared" si="6"/>
        <v>87.983193277310917</v>
      </c>
      <c r="J24" s="14">
        <f t="shared" si="5"/>
        <v>16.716806722689071</v>
      </c>
      <c r="K24" s="3"/>
      <c r="L24" s="3"/>
      <c r="M24" s="3"/>
    </row>
    <row r="25" spans="1:13" x14ac:dyDescent="0.3">
      <c r="A25" s="3"/>
      <c r="B25" t="s">
        <v>68</v>
      </c>
      <c r="C25">
        <v>8</v>
      </c>
      <c r="D25" s="13" t="s">
        <v>70</v>
      </c>
      <c r="E25" s="13" t="s">
        <v>71</v>
      </c>
      <c r="F25" s="14">
        <v>54</v>
      </c>
      <c r="G25">
        <v>19</v>
      </c>
      <c r="H25" s="14">
        <f t="shared" si="7"/>
        <v>432</v>
      </c>
      <c r="I25" s="14">
        <f t="shared" si="6"/>
        <v>363.02521008403363</v>
      </c>
      <c r="J25" s="14">
        <f t="shared" si="5"/>
        <v>68.974789915966369</v>
      </c>
      <c r="K25" s="3"/>
      <c r="L25" s="3"/>
      <c r="M25" s="3"/>
    </row>
    <row r="26" spans="1:13" x14ac:dyDescent="0.3">
      <c r="A26" s="3"/>
      <c r="B26" t="s">
        <v>41</v>
      </c>
      <c r="C26">
        <v>3</v>
      </c>
      <c r="D26" s="13" t="s">
        <v>72</v>
      </c>
      <c r="E26" s="13" t="s">
        <v>73</v>
      </c>
      <c r="F26" s="14">
        <v>37.93</v>
      </c>
      <c r="G26">
        <v>19</v>
      </c>
      <c r="H26" s="14">
        <f t="shared" si="7"/>
        <v>113.78999999999999</v>
      </c>
      <c r="I26" s="14">
        <f t="shared" ref="I26" si="8">H26/1.19</f>
        <v>95.621848739495789</v>
      </c>
      <c r="J26" s="14">
        <f t="shared" ref="J26:J27" si="9">H26-(H26/1.19)</f>
        <v>18.168151260504203</v>
      </c>
      <c r="K26" s="3"/>
      <c r="L26" s="3"/>
      <c r="M26" s="3"/>
    </row>
    <row r="27" spans="1:13" x14ac:dyDescent="0.3">
      <c r="A27" s="3"/>
      <c r="B27" t="s">
        <v>42</v>
      </c>
      <c r="C27">
        <v>5</v>
      </c>
      <c r="D27" s="13" t="s">
        <v>74</v>
      </c>
      <c r="E27" s="13" t="s">
        <v>75</v>
      </c>
      <c r="F27" s="14">
        <v>148.75</v>
      </c>
      <c r="G27">
        <v>19</v>
      </c>
      <c r="H27" s="14">
        <f>F27*C27</f>
        <v>743.75</v>
      </c>
      <c r="I27" s="14">
        <f>H27/1.19</f>
        <v>625</v>
      </c>
      <c r="J27" s="14">
        <f t="shared" si="9"/>
        <v>118.75</v>
      </c>
      <c r="K27" s="3"/>
      <c r="L27" s="3"/>
      <c r="M27" s="3"/>
    </row>
    <row r="28" spans="1:13" x14ac:dyDescent="0.3">
      <c r="A28" s="3"/>
      <c r="B28" t="s">
        <v>43</v>
      </c>
      <c r="C28">
        <v>1</v>
      </c>
      <c r="D28" s="13" t="s">
        <v>76</v>
      </c>
      <c r="E28" s="13" t="s">
        <v>77</v>
      </c>
      <c r="F28" s="14">
        <v>42.99</v>
      </c>
      <c r="G28">
        <v>19</v>
      </c>
      <c r="H28" s="14">
        <f t="shared" si="7"/>
        <v>42.99</v>
      </c>
      <c r="I28" s="14">
        <f t="shared" ref="I28:I30" si="10">H28/1.19</f>
        <v>36.12605042016807</v>
      </c>
      <c r="J28" s="14">
        <f t="shared" ref="J28:J30" si="11">H28-(H28/1.19)</f>
        <v>6.8639495798319317</v>
      </c>
      <c r="K28" s="3"/>
      <c r="L28" s="3"/>
      <c r="M28" s="3"/>
    </row>
    <row r="29" spans="1:13" x14ac:dyDescent="0.3">
      <c r="A29" s="3"/>
      <c r="B29" t="s">
        <v>44</v>
      </c>
      <c r="C29">
        <v>1</v>
      </c>
      <c r="D29" s="13" t="s">
        <v>79</v>
      </c>
      <c r="E29" s="13" t="s">
        <v>78</v>
      </c>
      <c r="F29" s="14">
        <v>399</v>
      </c>
      <c r="G29">
        <v>19</v>
      </c>
      <c r="H29" s="14">
        <f t="shared" si="7"/>
        <v>399</v>
      </c>
      <c r="I29" s="14">
        <f t="shared" si="10"/>
        <v>335.29411764705884</v>
      </c>
      <c r="J29" s="14">
        <f t="shared" si="11"/>
        <v>63.70588235294116</v>
      </c>
      <c r="K29" s="7"/>
      <c r="L29" s="7"/>
      <c r="M29" s="7"/>
    </row>
    <row r="30" spans="1:13" x14ac:dyDescent="0.3">
      <c r="A30" s="3"/>
      <c r="B30" t="s">
        <v>45</v>
      </c>
      <c r="C30">
        <v>1</v>
      </c>
      <c r="D30" s="13" t="s">
        <v>80</v>
      </c>
      <c r="E30" s="13" t="s">
        <v>81</v>
      </c>
      <c r="F30" s="14">
        <v>99.99</v>
      </c>
      <c r="G30">
        <v>19</v>
      </c>
      <c r="H30" s="14">
        <f t="shared" si="7"/>
        <v>99.99</v>
      </c>
      <c r="I30" s="14">
        <f t="shared" si="10"/>
        <v>84.025210084033617</v>
      </c>
      <c r="J30" s="14">
        <f t="shared" si="11"/>
        <v>15.964789915966378</v>
      </c>
      <c r="K30" s="3"/>
      <c r="L30" s="3"/>
      <c r="M30" s="3"/>
    </row>
    <row r="31" spans="1:13" x14ac:dyDescent="0.3">
      <c r="A31" s="3"/>
      <c r="B31" t="s">
        <v>47</v>
      </c>
      <c r="C31">
        <v>1</v>
      </c>
      <c r="D31" s="13" t="s">
        <v>82</v>
      </c>
      <c r="E31" s="13" t="s">
        <v>83</v>
      </c>
      <c r="F31" s="14">
        <v>158.4</v>
      </c>
      <c r="G31">
        <v>19</v>
      </c>
      <c r="H31" s="14">
        <f>F31*C31</f>
        <v>158.4</v>
      </c>
      <c r="I31" s="14">
        <f>H31/1.19</f>
        <v>133.109243697479</v>
      </c>
      <c r="J31" s="14">
        <f>H31-(H31/1.19)</f>
        <v>25.290756302521004</v>
      </c>
      <c r="K31" s="3"/>
      <c r="L31" s="3"/>
      <c r="M31" s="3"/>
    </row>
    <row r="32" spans="1:13" x14ac:dyDescent="0.3">
      <c r="A32" s="3"/>
      <c r="B32" t="s">
        <v>46</v>
      </c>
      <c r="C32">
        <v>1</v>
      </c>
      <c r="D32" s="13" t="s">
        <v>84</v>
      </c>
      <c r="E32" s="13" t="s">
        <v>85</v>
      </c>
      <c r="F32" s="9">
        <v>139.99</v>
      </c>
      <c r="G32">
        <v>19</v>
      </c>
      <c r="H32" s="14">
        <f>F32*C32</f>
        <v>139.99</v>
      </c>
      <c r="I32" s="14">
        <f>H32/1.19</f>
        <v>117.63865546218489</v>
      </c>
      <c r="J32" s="14">
        <f>H32-(H32/1.19)</f>
        <v>22.351344537815123</v>
      </c>
      <c r="K32" s="3"/>
      <c r="L32" s="3"/>
      <c r="M32" s="3"/>
    </row>
    <row r="33" spans="1:13" x14ac:dyDescent="0.3">
      <c r="A33" s="3"/>
      <c r="B33" t="s">
        <v>69</v>
      </c>
      <c r="C33">
        <v>1</v>
      </c>
      <c r="D33" s="13" t="s">
        <v>86</v>
      </c>
      <c r="E33" s="13" t="s">
        <v>87</v>
      </c>
      <c r="F33" s="9">
        <v>53.09</v>
      </c>
      <c r="G33">
        <v>19</v>
      </c>
      <c r="H33" s="14">
        <f>F33*C33</f>
        <v>53.09</v>
      </c>
      <c r="I33" s="14">
        <f>H33/1.19</f>
        <v>44.613445378151262</v>
      </c>
      <c r="J33" s="14">
        <f>H33-(H33/1.19)</f>
        <v>8.4765546218487415</v>
      </c>
      <c r="K33" s="3"/>
      <c r="L33" s="3"/>
      <c r="M33" s="3"/>
    </row>
    <row r="34" spans="1:13" x14ac:dyDescent="0.3">
      <c r="A34" s="3"/>
      <c r="B34" t="s">
        <v>48</v>
      </c>
      <c r="C34">
        <v>1</v>
      </c>
      <c r="D34" s="18" t="s">
        <v>88</v>
      </c>
      <c r="E34" s="13" t="s">
        <v>89</v>
      </c>
      <c r="F34" s="9">
        <v>39</v>
      </c>
      <c r="G34">
        <v>19</v>
      </c>
      <c r="H34" s="14">
        <f>F34*C34</f>
        <v>39</v>
      </c>
      <c r="I34" s="14">
        <f t="shared" ref="I34" si="12">H34/1.19</f>
        <v>32.773109243697483</v>
      </c>
      <c r="J34" s="14">
        <f t="shared" ref="J34" si="13">H34-(H34/1.19)</f>
        <v>6.2268907563025166</v>
      </c>
      <c r="K34" s="3"/>
      <c r="L34" s="3"/>
      <c r="M34" s="3"/>
    </row>
    <row r="35" spans="1:13" x14ac:dyDescent="0.3">
      <c r="A35" s="3"/>
      <c r="B35" t="s">
        <v>0</v>
      </c>
      <c r="D35" s="15"/>
      <c r="E35" s="9"/>
      <c r="F35" s="16"/>
      <c r="G35">
        <v>19</v>
      </c>
      <c r="H35" s="17">
        <f t="shared" ref="H35:I35" si="14">H16+H17+H18+H19+H20+H21+H22+H23+H24+H25+H26+H27+H28+H29+H30+H31+H32+H33+H34</f>
        <v>7016.5099999999975</v>
      </c>
      <c r="I35" s="17">
        <f t="shared" si="14"/>
        <v>5896.2268907563011</v>
      </c>
      <c r="J35" s="17">
        <f>J16+J17+J18+J19+J20+J21+J22+J23+J24+J25+J26+J27+J28+J29+J30+J31+J32+J33+J34</f>
        <v>1120.2781512605038</v>
      </c>
      <c r="K35" s="3"/>
      <c r="L35" s="3"/>
      <c r="M35" s="3"/>
    </row>
    <row r="36" spans="1:13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3"/>
      <c r="B38" s="22" t="s">
        <v>90</v>
      </c>
      <c r="C38" s="22"/>
      <c r="D38" s="22"/>
      <c r="E38" s="22"/>
      <c r="F38" s="22"/>
      <c r="G38" s="22"/>
      <c r="H38" s="22"/>
      <c r="I38" s="22"/>
      <c r="J38" s="22"/>
      <c r="K38" s="22"/>
      <c r="L38" s="3"/>
      <c r="M38" s="3"/>
    </row>
    <row r="39" spans="1:13" x14ac:dyDescent="0.3">
      <c r="A39" s="3"/>
      <c r="B39" t="s">
        <v>91</v>
      </c>
      <c r="C39" t="s">
        <v>23</v>
      </c>
      <c r="D39" t="s">
        <v>92</v>
      </c>
      <c r="E39" t="s">
        <v>24</v>
      </c>
      <c r="F39" t="s">
        <v>25</v>
      </c>
      <c r="G39" t="s">
        <v>26</v>
      </c>
      <c r="H39" t="s">
        <v>27</v>
      </c>
      <c r="I39" t="s">
        <v>28</v>
      </c>
      <c r="J39" t="s">
        <v>29</v>
      </c>
      <c r="K39" t="s">
        <v>30</v>
      </c>
      <c r="L39" s="3"/>
      <c r="M39" s="3"/>
    </row>
    <row r="40" spans="1:13" x14ac:dyDescent="0.3">
      <c r="A40" s="3"/>
      <c r="B40" t="s">
        <v>119</v>
      </c>
      <c r="C40">
        <v>400</v>
      </c>
      <c r="D40" t="s">
        <v>120</v>
      </c>
      <c r="E40" s="13" t="s">
        <v>133</v>
      </c>
      <c r="F40" s="13" t="s">
        <v>134</v>
      </c>
      <c r="G40" s="1">
        <v>9.5</v>
      </c>
      <c r="H40" s="19">
        <v>0.19</v>
      </c>
      <c r="I40" s="1">
        <f>G40*C40</f>
        <v>3800</v>
      </c>
      <c r="J40" s="1">
        <f>I40/1.19</f>
        <v>3193.2773109243699</v>
      </c>
      <c r="K40" s="1">
        <f>I40-(I40/1.19)</f>
        <v>606.72268907563011</v>
      </c>
      <c r="L40" s="3"/>
      <c r="M40" s="3"/>
    </row>
    <row r="41" spans="1:13" x14ac:dyDescent="0.3">
      <c r="A41" s="3"/>
      <c r="B41" t="s">
        <v>121</v>
      </c>
      <c r="C41">
        <v>750</v>
      </c>
      <c r="D41" t="s">
        <v>120</v>
      </c>
      <c r="E41" s="13" t="s">
        <v>135</v>
      </c>
      <c r="F41" s="13" t="s">
        <v>136</v>
      </c>
      <c r="G41" s="1">
        <v>2.2599999999999998</v>
      </c>
      <c r="H41" s="19">
        <v>0.19</v>
      </c>
      <c r="I41" s="1">
        <f t="shared" ref="I41:I43" si="15">G41*C41</f>
        <v>1694.9999999999998</v>
      </c>
      <c r="J41" s="1">
        <f>I41/1.19</f>
        <v>1424.3697478991596</v>
      </c>
      <c r="K41" s="1">
        <f>I41-(I41/1.19)</f>
        <v>270.63025210084015</v>
      </c>
      <c r="L41" s="3"/>
      <c r="M41" s="3"/>
    </row>
    <row r="42" spans="1:13" x14ac:dyDescent="0.3">
      <c r="A42" s="3"/>
      <c r="B42" t="s">
        <v>122</v>
      </c>
      <c r="C42">
        <v>25</v>
      </c>
      <c r="D42" t="s">
        <v>125</v>
      </c>
      <c r="E42" s="13" t="s">
        <v>137</v>
      </c>
      <c r="F42" s="13" t="s">
        <v>138</v>
      </c>
      <c r="G42" s="1">
        <v>2.9</v>
      </c>
      <c r="H42" s="19">
        <v>0.19</v>
      </c>
      <c r="I42" s="1">
        <f t="shared" si="15"/>
        <v>72.5</v>
      </c>
      <c r="J42" s="1">
        <f>I42/1.19</f>
        <v>60.924369747899163</v>
      </c>
      <c r="K42" s="1">
        <f>I42-(I42/1.19)</f>
        <v>11.575630252100837</v>
      </c>
      <c r="L42" s="3"/>
      <c r="M42" s="3"/>
    </row>
    <row r="43" spans="1:13" x14ac:dyDescent="0.3">
      <c r="A43" s="3"/>
      <c r="B43" t="s">
        <v>123</v>
      </c>
      <c r="C43">
        <v>1000</v>
      </c>
      <c r="D43" t="s">
        <v>124</v>
      </c>
      <c r="E43" s="13" t="s">
        <v>139</v>
      </c>
      <c r="F43" s="13" t="s">
        <v>140</v>
      </c>
      <c r="G43" s="1">
        <v>0.85</v>
      </c>
      <c r="H43" s="19">
        <v>0.19</v>
      </c>
      <c r="I43" s="1">
        <f t="shared" si="15"/>
        <v>850</v>
      </c>
      <c r="J43" s="1">
        <f>I43/1.19</f>
        <v>714.28571428571433</v>
      </c>
      <c r="K43" s="1">
        <f>I43-(I43/1.19)</f>
        <v>135.71428571428567</v>
      </c>
      <c r="L43" s="3"/>
      <c r="M43" s="3"/>
    </row>
    <row r="44" spans="1:13" x14ac:dyDescent="0.3">
      <c r="A44" s="3"/>
      <c r="B44" t="s">
        <v>0</v>
      </c>
      <c r="G44" s="9"/>
      <c r="H44" s="19">
        <v>0.19</v>
      </c>
      <c r="I44" s="1">
        <f>I40+I41+I42+I43</f>
        <v>6417.5</v>
      </c>
      <c r="J44" s="1">
        <f>I44/1.19</f>
        <v>5392.8571428571431</v>
      </c>
      <c r="K44" s="1">
        <f>I44-(I44/1.19)</f>
        <v>1024.6428571428569</v>
      </c>
      <c r="L44" s="3"/>
      <c r="M44" s="3"/>
    </row>
    <row r="45" spans="1:13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3">
      <c r="A46" s="3"/>
      <c r="B46" t="s">
        <v>93</v>
      </c>
      <c r="C46" t="s">
        <v>23</v>
      </c>
      <c r="D46" t="s">
        <v>92</v>
      </c>
      <c r="E46" t="s">
        <v>24</v>
      </c>
      <c r="F46" t="s">
        <v>25</v>
      </c>
      <c r="G46" t="s">
        <v>26</v>
      </c>
      <c r="H46" t="s">
        <v>27</v>
      </c>
      <c r="I46" t="s">
        <v>94</v>
      </c>
      <c r="J46" t="s">
        <v>29</v>
      </c>
      <c r="K46" t="s">
        <v>30</v>
      </c>
      <c r="L46" s="3"/>
      <c r="M46" s="3"/>
    </row>
    <row r="47" spans="1:13" x14ac:dyDescent="0.3">
      <c r="A47" s="3"/>
      <c r="B47" t="s">
        <v>126</v>
      </c>
      <c r="C47">
        <v>3</v>
      </c>
      <c r="D47" t="s">
        <v>124</v>
      </c>
      <c r="E47" s="13" t="s">
        <v>141</v>
      </c>
      <c r="F47" s="13" t="s">
        <v>142</v>
      </c>
      <c r="G47" s="9">
        <v>0.62</v>
      </c>
      <c r="H47" s="19">
        <v>0.19</v>
      </c>
      <c r="I47" s="1">
        <f>G47*C47</f>
        <v>1.8599999999999999</v>
      </c>
      <c r="J47" s="1">
        <f xml:space="preserve"> I47 / 1.19</f>
        <v>1.5630252100840336</v>
      </c>
      <c r="K47" s="1">
        <f xml:space="preserve"> I47 - (I47 / 1.19)</f>
        <v>0.29697478991596626</v>
      </c>
      <c r="L47" s="3"/>
      <c r="M47" s="3"/>
    </row>
    <row r="48" spans="1:13" x14ac:dyDescent="0.3">
      <c r="A48" s="3"/>
      <c r="B48" t="s">
        <v>127</v>
      </c>
      <c r="C48">
        <v>3</v>
      </c>
      <c r="D48" t="s">
        <v>129</v>
      </c>
      <c r="E48" s="13" t="s">
        <v>143</v>
      </c>
      <c r="F48" s="13" t="s">
        <v>144</v>
      </c>
      <c r="G48" s="9">
        <v>3.42</v>
      </c>
      <c r="H48" s="19">
        <v>0.19</v>
      </c>
      <c r="I48" s="1">
        <f t="shared" ref="I48:I49" si="16">G48*C48</f>
        <v>10.26</v>
      </c>
      <c r="J48" s="1">
        <f xml:space="preserve"> I48 / 1.19</f>
        <v>8.6218487394957979</v>
      </c>
      <c r="K48" s="1">
        <f xml:space="preserve"> I48 - (I48 / 1.19)</f>
        <v>1.6381512605042019</v>
      </c>
      <c r="L48" s="3"/>
      <c r="M48" s="3"/>
    </row>
    <row r="49" spans="1:13" x14ac:dyDescent="0.3">
      <c r="A49" s="3"/>
      <c r="B49" t="s">
        <v>128</v>
      </c>
      <c r="C49">
        <v>10</v>
      </c>
      <c r="D49" t="s">
        <v>130</v>
      </c>
      <c r="E49" s="13" t="s">
        <v>145</v>
      </c>
      <c r="F49" s="13" t="s">
        <v>146</v>
      </c>
      <c r="G49" s="9">
        <v>3.95</v>
      </c>
      <c r="H49" s="19">
        <v>0.19</v>
      </c>
      <c r="I49" s="1">
        <f t="shared" si="16"/>
        <v>39.5</v>
      </c>
      <c r="J49" s="1">
        <f xml:space="preserve"> I49 / 1.19</f>
        <v>33.193277310924373</v>
      </c>
      <c r="K49" s="1">
        <f xml:space="preserve"> I49 - (I49 / 1.19)</f>
        <v>6.3067226890756274</v>
      </c>
      <c r="L49" s="3"/>
      <c r="M49" s="3"/>
    </row>
    <row r="50" spans="1:13" x14ac:dyDescent="0.3">
      <c r="A50" s="3"/>
      <c r="B50" t="s">
        <v>0</v>
      </c>
      <c r="G50" s="9"/>
      <c r="H50" s="19">
        <v>0.19</v>
      </c>
      <c r="I50" s="1">
        <f>I47+I48+I49</f>
        <v>51.62</v>
      </c>
      <c r="J50" s="1">
        <f xml:space="preserve"> I50 / 1.19</f>
        <v>43.378151260504204</v>
      </c>
      <c r="K50" s="1">
        <f xml:space="preserve"> I50 - (I50 / 1.19)</f>
        <v>8.2418487394957936</v>
      </c>
      <c r="L50" s="3"/>
      <c r="M50" s="3"/>
    </row>
    <row r="51" spans="1:13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3">
      <c r="A52" s="3"/>
      <c r="B52" t="s">
        <v>95</v>
      </c>
      <c r="C52" t="s">
        <v>23</v>
      </c>
      <c r="D52" t="s">
        <v>24</v>
      </c>
      <c r="E52" t="s">
        <v>25</v>
      </c>
      <c r="F52" t="s">
        <v>96</v>
      </c>
      <c r="G52" t="s">
        <v>26</v>
      </c>
      <c r="H52" t="s">
        <v>27</v>
      </c>
      <c r="I52" t="s">
        <v>28</v>
      </c>
      <c r="J52" t="s">
        <v>29</v>
      </c>
      <c r="K52" t="s">
        <v>97</v>
      </c>
      <c r="L52" s="3"/>
      <c r="M52" s="3"/>
    </row>
    <row r="53" spans="1:13" x14ac:dyDescent="0.3">
      <c r="A53" s="3"/>
      <c r="B53" s="2" t="s">
        <v>131</v>
      </c>
      <c r="C53" s="2">
        <v>3</v>
      </c>
      <c r="D53" s="13" t="s">
        <v>147</v>
      </c>
      <c r="E53" s="13" t="s">
        <v>148</v>
      </c>
      <c r="F53" s="13" t="s">
        <v>149</v>
      </c>
      <c r="G53" s="1">
        <v>3.95</v>
      </c>
      <c r="H53" s="19">
        <v>0.19</v>
      </c>
      <c r="I53" s="1">
        <f>G53*C53</f>
        <v>11.850000000000001</v>
      </c>
      <c r="J53" s="1">
        <f t="shared" ref="J53:J55" si="17">I53/1.19</f>
        <v>9.9579831932773129</v>
      </c>
      <c r="K53" s="1">
        <f t="shared" ref="K53:K55" si="18">I53-(I53/1.19)</f>
        <v>1.8920168067226886</v>
      </c>
      <c r="L53" s="3"/>
      <c r="M53" s="3"/>
    </row>
    <row r="54" spans="1:13" x14ac:dyDescent="0.3">
      <c r="A54" s="3"/>
      <c r="B54" t="s">
        <v>132</v>
      </c>
      <c r="C54">
        <v>3</v>
      </c>
      <c r="D54" s="13" t="s">
        <v>152</v>
      </c>
      <c r="E54" s="13" t="s">
        <v>150</v>
      </c>
      <c r="F54" s="13" t="s">
        <v>151</v>
      </c>
      <c r="G54" s="1">
        <v>1</v>
      </c>
      <c r="H54" s="19">
        <v>0.19</v>
      </c>
      <c r="I54" s="1">
        <f>G54*C54</f>
        <v>3</v>
      </c>
      <c r="J54" s="1">
        <f t="shared" si="17"/>
        <v>2.5210084033613445</v>
      </c>
      <c r="K54" s="1">
        <f t="shared" si="18"/>
        <v>0.47899159663865554</v>
      </c>
      <c r="L54" s="3"/>
      <c r="M54" s="3"/>
    </row>
    <row r="55" spans="1:13" x14ac:dyDescent="0.3">
      <c r="A55" s="3"/>
      <c r="B55" t="s">
        <v>0</v>
      </c>
      <c r="D55" s="9"/>
      <c r="E55" s="9"/>
      <c r="F55" s="9"/>
      <c r="G55" s="9"/>
      <c r="H55" s="19">
        <v>0.19</v>
      </c>
      <c r="I55" s="1">
        <f>I53+I54</f>
        <v>14.850000000000001</v>
      </c>
      <c r="J55" s="1">
        <f t="shared" si="17"/>
        <v>12.478991596638657</v>
      </c>
      <c r="K55" s="1">
        <f t="shared" si="18"/>
        <v>2.3710084033613441</v>
      </c>
      <c r="L55" s="3"/>
      <c r="M55" s="3"/>
    </row>
    <row r="56" spans="1:13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">
      <c r="A58" s="3"/>
      <c r="B58" s="22" t="s">
        <v>98</v>
      </c>
      <c r="C58" s="22"/>
      <c r="D58" s="22"/>
      <c r="E58" s="22"/>
      <c r="F58" s="3"/>
      <c r="G58" s="3"/>
      <c r="H58" s="3"/>
      <c r="I58" s="3"/>
      <c r="J58" s="3"/>
      <c r="K58" s="3"/>
      <c r="L58" s="3"/>
      <c r="M58" s="3"/>
    </row>
    <row r="59" spans="1:13" ht="15.6" x14ac:dyDescent="0.3">
      <c r="A59" s="3"/>
      <c r="B59" s="23" t="s">
        <v>99</v>
      </c>
      <c r="C59" s="23"/>
      <c r="D59" s="23"/>
      <c r="E59" s="23"/>
      <c r="F59" s="3"/>
      <c r="G59" s="3"/>
      <c r="H59" s="3"/>
      <c r="I59" s="3"/>
      <c r="J59" s="3"/>
      <c r="K59" s="3"/>
      <c r="L59" s="3"/>
      <c r="M59" s="3"/>
    </row>
    <row r="60" spans="1:13" x14ac:dyDescent="0.3">
      <c r="A60" s="3"/>
      <c r="B60" t="s">
        <v>100</v>
      </c>
      <c r="C60" t="s">
        <v>101</v>
      </c>
      <c r="D60" t="s">
        <v>2</v>
      </c>
      <c r="E60" t="s">
        <v>102</v>
      </c>
      <c r="F60" s="3"/>
      <c r="G60" s="3"/>
      <c r="H60" s="3"/>
      <c r="I60" s="3"/>
      <c r="J60" s="3"/>
      <c r="K60" s="3"/>
      <c r="L60" s="3"/>
      <c r="M60" s="3"/>
    </row>
    <row r="61" spans="1:13" ht="28.8" x14ac:dyDescent="0.3">
      <c r="A61" s="3"/>
      <c r="B61" s="20" t="s">
        <v>103</v>
      </c>
      <c r="C61" s="21" t="s">
        <v>154</v>
      </c>
      <c r="D61" s="24">
        <f>I44</f>
        <v>6417.5</v>
      </c>
      <c r="E61" s="20" t="s">
        <v>156</v>
      </c>
      <c r="F61" s="3"/>
      <c r="G61" s="3"/>
      <c r="H61" s="3"/>
      <c r="I61" s="3"/>
      <c r="J61" s="3"/>
      <c r="K61" s="3"/>
      <c r="L61" s="3"/>
      <c r="M61" s="3"/>
    </row>
    <row r="62" spans="1:13" x14ac:dyDescent="0.3">
      <c r="A62" s="3"/>
      <c r="B62" s="20" t="s">
        <v>10</v>
      </c>
      <c r="C62" s="20" t="s">
        <v>157</v>
      </c>
      <c r="D62" s="24">
        <f>H12+D12</f>
        <v>12040.305</v>
      </c>
      <c r="E62" s="20" t="s">
        <v>153</v>
      </c>
      <c r="F62" s="3"/>
      <c r="G62" s="3"/>
      <c r="H62" s="3"/>
      <c r="I62" s="3"/>
      <c r="J62" s="3"/>
      <c r="K62" s="3"/>
      <c r="L62" s="3"/>
      <c r="M62" s="3"/>
    </row>
    <row r="63" spans="1:13" x14ac:dyDescent="0.3">
      <c r="A63" s="3"/>
      <c r="B63" s="20" t="s">
        <v>104</v>
      </c>
      <c r="C63" s="20" t="s">
        <v>160</v>
      </c>
      <c r="D63" s="24">
        <v>2270</v>
      </c>
      <c r="E63" s="26" t="s">
        <v>159</v>
      </c>
      <c r="F63" s="3"/>
      <c r="G63" s="3"/>
      <c r="H63" s="3"/>
      <c r="I63" s="3"/>
      <c r="J63" s="3"/>
      <c r="K63" s="3"/>
      <c r="L63" s="3"/>
      <c r="M63" s="3"/>
    </row>
    <row r="64" spans="1:13" ht="42.6" customHeight="1" x14ac:dyDescent="0.3">
      <c r="A64" s="3"/>
      <c r="B64" s="20" t="s">
        <v>105</v>
      </c>
      <c r="C64" s="20" t="s">
        <v>158</v>
      </c>
      <c r="D64" s="24">
        <f>(0.5*C43+33)*15</f>
        <v>7995</v>
      </c>
      <c r="E64" s="21" t="s">
        <v>161</v>
      </c>
      <c r="F64" s="3"/>
      <c r="G64" s="3"/>
      <c r="H64" s="3"/>
      <c r="I64" s="3"/>
      <c r="J64" s="3"/>
      <c r="K64" s="3"/>
      <c r="L64" s="3"/>
      <c r="M64" s="3"/>
    </row>
    <row r="65" spans="1:13" ht="31.8" customHeight="1" x14ac:dyDescent="0.3">
      <c r="A65" s="3"/>
      <c r="B65" s="20" t="s">
        <v>106</v>
      </c>
      <c r="C65" s="21" t="s">
        <v>155</v>
      </c>
      <c r="D65" s="24">
        <f>H35+I50+I55</f>
        <v>7082.9799999999977</v>
      </c>
      <c r="E65" s="20" t="s">
        <v>156</v>
      </c>
      <c r="F65" s="3"/>
      <c r="G65" s="3"/>
      <c r="H65" s="3"/>
      <c r="I65" s="3"/>
      <c r="J65" s="3"/>
      <c r="K65" s="3"/>
      <c r="L65" s="3"/>
      <c r="M65" s="3"/>
    </row>
    <row r="66" spans="1:13" x14ac:dyDescent="0.3">
      <c r="A66" s="3"/>
      <c r="B66" s="20" t="s">
        <v>0</v>
      </c>
      <c r="C66" s="20"/>
      <c r="D66" s="24">
        <f>D61+D62+D63+D64+D65</f>
        <v>35805.784999999996</v>
      </c>
      <c r="E66" s="25"/>
      <c r="F66" s="3"/>
      <c r="G66" s="3"/>
      <c r="H66" s="3"/>
      <c r="I66" s="3"/>
      <c r="J66" s="3"/>
      <c r="K66" s="3"/>
      <c r="L66" s="3"/>
      <c r="M66" s="3"/>
    </row>
    <row r="67" spans="1:13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5.6" x14ac:dyDescent="0.3">
      <c r="A68" s="3"/>
      <c r="B68" s="23" t="s">
        <v>107</v>
      </c>
      <c r="C68" s="23"/>
      <c r="D68" s="23"/>
      <c r="E68" s="23"/>
      <c r="F68" s="3"/>
      <c r="G68" s="3"/>
      <c r="H68" s="3"/>
      <c r="I68" s="3"/>
      <c r="J68" s="3"/>
      <c r="K68" s="3"/>
      <c r="L68" s="3"/>
      <c r="M68" s="3"/>
    </row>
    <row r="69" spans="1:13" x14ac:dyDescent="0.3">
      <c r="A69" s="3"/>
      <c r="B69" t="s">
        <v>108</v>
      </c>
      <c r="C69" t="s">
        <v>2</v>
      </c>
      <c r="D69" t="s">
        <v>109</v>
      </c>
      <c r="E69" t="s">
        <v>110</v>
      </c>
      <c r="F69" s="3"/>
      <c r="G69" s="3"/>
      <c r="H69" s="3"/>
      <c r="I69" s="3"/>
      <c r="J69" s="3"/>
      <c r="K69" s="3"/>
      <c r="L69" s="3"/>
      <c r="M69" s="3"/>
    </row>
    <row r="70" spans="1:13" ht="28.2" customHeight="1" x14ac:dyDescent="0.3">
      <c r="A70" s="3"/>
      <c r="B70" s="20" t="s">
        <v>111</v>
      </c>
      <c r="C70" s="24">
        <f>D66-C71-C72</f>
        <v>27805.784999999996</v>
      </c>
      <c r="D70" s="21" t="s">
        <v>169</v>
      </c>
      <c r="E70" s="28" t="s">
        <v>168</v>
      </c>
      <c r="F70" s="3"/>
      <c r="G70" s="3"/>
      <c r="H70" s="3"/>
      <c r="I70" s="3"/>
      <c r="J70" s="3"/>
      <c r="K70" s="3"/>
      <c r="L70" s="3"/>
      <c r="M70" s="3"/>
    </row>
    <row r="71" spans="1:13" ht="28.8" x14ac:dyDescent="0.3">
      <c r="A71" s="3"/>
      <c r="B71" s="20" t="s">
        <v>112</v>
      </c>
      <c r="C71" s="24">
        <v>5000</v>
      </c>
      <c r="D71" s="21" t="s">
        <v>167</v>
      </c>
      <c r="E71" s="13" t="s">
        <v>166</v>
      </c>
      <c r="F71" s="3"/>
      <c r="G71" s="3"/>
      <c r="H71" s="3"/>
      <c r="I71" s="3"/>
      <c r="J71" s="3"/>
      <c r="K71" s="3"/>
      <c r="L71" s="3"/>
      <c r="M71" s="3"/>
    </row>
    <row r="72" spans="1:13" x14ac:dyDescent="0.3">
      <c r="A72" s="3"/>
      <c r="B72" s="20" t="s">
        <v>113</v>
      </c>
      <c r="C72" s="24">
        <v>3000</v>
      </c>
      <c r="D72" s="20" t="s">
        <v>165</v>
      </c>
      <c r="E72" t="s">
        <v>164</v>
      </c>
      <c r="F72" s="3"/>
      <c r="G72" s="3"/>
      <c r="H72" s="3"/>
      <c r="I72" s="3"/>
      <c r="J72" s="3"/>
      <c r="K72" s="3"/>
      <c r="L72" s="3"/>
      <c r="M72" s="3"/>
    </row>
    <row r="73" spans="1:13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5.6" x14ac:dyDescent="0.3">
      <c r="A74" s="3"/>
      <c r="B74" s="23" t="s">
        <v>114</v>
      </c>
      <c r="C74" s="23"/>
      <c r="D74" s="23"/>
      <c r="E74" s="23"/>
      <c r="F74" s="23"/>
      <c r="G74" s="3"/>
      <c r="H74" s="3"/>
      <c r="I74" s="3"/>
      <c r="J74" s="3"/>
      <c r="K74" s="3"/>
      <c r="L74" s="3"/>
      <c r="M74" s="3"/>
    </row>
    <row r="75" spans="1:13" x14ac:dyDescent="0.3">
      <c r="A75" s="3"/>
      <c r="B75" t="s">
        <v>115</v>
      </c>
      <c r="C75" t="s">
        <v>116</v>
      </c>
      <c r="D75" t="s">
        <v>117</v>
      </c>
      <c r="E75" t="s">
        <v>118</v>
      </c>
      <c r="F75" t="s">
        <v>110</v>
      </c>
      <c r="G75" s="3"/>
      <c r="H75" s="3"/>
      <c r="I75" s="3"/>
      <c r="J75" s="3"/>
      <c r="K75" s="3"/>
      <c r="L75" s="3"/>
      <c r="M75" s="3"/>
    </row>
    <row r="76" spans="1:13" ht="30" customHeight="1" x14ac:dyDescent="0.3">
      <c r="A76" s="3"/>
      <c r="B76" s="20" t="s">
        <v>162</v>
      </c>
      <c r="C76" s="24">
        <f>J44/1000</f>
        <v>5.3928571428571432</v>
      </c>
      <c r="D76" s="27">
        <f>(16.8-5.39)/Tabelle1168[Gesamtkosten pro Stück (€)]</f>
        <v>2.1157615894039732</v>
      </c>
      <c r="E76" s="24">
        <f>19.99/1.19</f>
        <v>16.798319327731093</v>
      </c>
      <c r="F76" s="21" t="s">
        <v>163</v>
      </c>
      <c r="G76" s="3"/>
      <c r="H76" s="3"/>
      <c r="I76" s="3"/>
      <c r="J76" s="3"/>
      <c r="K76" s="3"/>
      <c r="L76" s="3"/>
      <c r="M76" s="3"/>
    </row>
    <row r="77" spans="1:13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</sheetData>
  <mergeCells count="7">
    <mergeCell ref="B68:E68"/>
    <mergeCell ref="B74:F74"/>
    <mergeCell ref="B58:E58"/>
    <mergeCell ref="B59:E59"/>
    <mergeCell ref="B2:K2"/>
    <mergeCell ref="B14:J14"/>
    <mergeCell ref="B38:K38"/>
  </mergeCells>
  <hyperlinks>
    <hyperlink ref="D16" r:id="rId1" display="Senci (3.585€)"/>
    <hyperlink ref="E16" r:id="rId2" location="productReviews" display="https://www.naehpark.com/juki-tl-2300-sumato/10ac02300?channable=41ec6f61727469636c655f6e756d62657200313041433032333030de&amp;campaignCode=google-de&amp;gad_source=1&amp;gad_campaignid=22417545816&amp;gbraid=0AAAAAD_VY1psBR-BJeJ9ps73AZRBTzwmS&amp;gclid=EAIaIQobChMIpYDE2K_EkgMVJbpoCR0iEDJzEAQYBSABEgIiOPD_BwE - productReviews"/>
    <hyperlink ref="D17" r:id="rId3" display="https://www.cyberport.de/haushalt/bodenpflege-reiniger/zubehoer/medion/pdp/kb07-005/medion-md18205-freiarm-naehmaschine.html?APID=406&amp;campaign=18127361197&amp;gad_campaignid=17336398698&amp;gad_source=1&amp;gbraid=0AAAAADtQIJx5HGRYgSxxpsu_orHOfBahe&amp;gclid=EAIaIQobChMI7qSFm8jEkgMVlab9BR01BRGDEAQYBSABEgL6CfD_BwE&amp;prodid=KB07-005"/>
    <hyperlink ref="E17" r:id="rId4" location="ech=29506176" display="https://www.otto.de/p/singer-freiarm-naehmaschine-m2105-8-programme-C1130596190/ - ech=29506176"/>
    <hyperlink ref="D18" display="Retoura (131,99€)"/>
    <hyperlink ref="E18" r:id="rId5" display="https://www.vevor.de/naehmaschinen-c_11158/vevor-overlock-naehmaschine-1250-stiche-pro-minute-3-und-4-faden-faehig-mit-led-licht-starken-saugfuessen-robuste-naehmaschine-mit-metallrahmen-fuer-verschiedene-stoffe-weiss-p_010448162217?adp=gmc&amp;country=DE&amp;utm_source=google&amp;utm_medium=cpc&amp;utm_id=20402659192&amp;ad_group=155553888950&amp;ad_id=666853858077&amp;utm_term=&amp;gad_source=1&amp;gad_campaignid=20402659192&amp;gbraid=0AAAAACTUicpI2SDE_CMo7nR-9NJOSsNgO&amp;gclid=EAIaIQobChMI7syB8c3EkgMV66n9BR1dNQ6kEAQYBSABEgKr_fD_BwE"/>
    <hyperlink ref="D19" r:id="rId6" display="https://www.home24.de/alle-schreibtische/?utm_price=8499&amp;qv_child=000000003001688727&amp;utm_content=google_shopping_mp&amp;gclid_bkp=EAIaIQobChMIitau187EkgMVhkFBAh1LYSDXEAQYByABEgLCoPD_BwE&amp;gad_source=1&amp;gad_campaignid=21374681980&amp;gbraid=0AAAAADxWvE8svAkKB7slAVfgSSQ_Tse-Z&amp;gclid=EAIaIQobChMIitau187EkgMVhkFBAh1LYSDXEAQYByABEgLCoPD_BwE"/>
    <hyperlink ref="E19" display="Aosom (83,90€)"/>
    <hyperlink ref="D20" r:id="rId7" display="https://tubefittings.eu/de/werkbaenke/1212-tischgestell-200x100x80-cm-modell-4-5901138375808.html?gad_source=1&amp;gad_campaignid=22154351957&amp;gbraid=0AAAAACf4RrwEb34m4KkLqFdVZDoWBio1e&amp;gclid=EAIaIQobChMImIqs8M_EkgMVMlJBAh0NfiNFEAQYCCABEgITdfD_BwE"/>
    <hyperlink ref="E20" r:id="rId8" location="wizard-step-0" display="wizard-step-0"/>
    <hyperlink ref="E21" display="Sprintis (157,44 €)"/>
    <hyperlink ref="D21" r:id="rId9" display="https://www.amazon.de/dp/B00U7H39F4?tag=track-ecpc2-de-105447-21&amp;linkCode=ogi&amp;th=1&amp;language=de_DE&amp;ascsubtag=bnSEP43c5vjmlaqbol3"/>
    <hyperlink ref="D22" r:id="rId10" display="https://www.home-appliances.philips/de/de/p/GC6815_20?origin=7_5472784425_22977127591__&amp;gclsrc=aw.ds&amp;gad_source=1&amp;gad_campaignid=22977128602&amp;gbraid=0AAAAABxV4pJSWLVICxTBuK9rBLWi-9wJu&amp;gclid=EAIaIQobChMIo6DhjtLEkgMVe6n9BR3_nQkTEAQYASABEgJyZvD_BwE"/>
    <hyperlink ref="E22" r:id="rId11" display="https://shop.retoura.de/HANSEATIC-Dampfbuegelstation-HIS1565BLD-65-bar-Dampfdruck-max-300g-min-Dampfmenge-B-Ware-sehr-gut?etcc_med=SEA&amp;etcc_par=Google&amp;etcc_cmp=GoogleAds&amp;etcc_grp=191393874162&amp;etcc_bky=&amp;etcc_mty=&amp;etcc_plc=&amp;etcc_ctv=787343518929&amp;etcc_bde=c&amp;etcc_var=EAIaIQobChMIo6DhjtLEkgMVe6n9BR3_nQkTEAQYCCABEgJAEvD_BwE&amp;gad_source=1&amp;gad_campaignid=23345128306&amp;gbraid=0AAAAACb3QBqWFGn4AFA19_3svpdU5eOQk&amp;gclid=EAIaIQobChMIo6DhjtLEkgMVe6n9BR3_nQkTEAQYCCABEgJAEvD_BwE"/>
    <hyperlink ref="D23" r:id="rId12" display="https://www.lampe.de/sofo-deckenleuchte-h3745892.html"/>
    <hyperlink ref="E23" r:id="rId13" display="https://toom.de/p/led-deckenleuchte-spica-weiss-18-w-27-cm/9242270"/>
    <hyperlink ref="D24" r:id="rId14" display="https://www.naehwelt-flach.de/daylight-led-naehmaschinen-lampe-mit-schwanenhals.html?gad_source=1&amp;gad_campaignid=1541083669&amp;gbraid=0AAAAAD_lj6kZHhmY4-yUf-9nriKGb1hLd&amp;gclid=EAIaIQobChMIjoWL0tPEkgMVoDoGAB3GnCraEAQYByABEgJBTPD_BwE"/>
    <hyperlink ref="E24" display="lampenwelt.de (34,90€)"/>
    <hyperlink ref="D25" r:id="rId15" display="https://www.wolkdirekt.com/TS4930-kaufen.html?ed=6&amp;vp=S2x1&amp;camp=googlebase&amp;gad_source=1&amp;gad_campaignid=13170499359&amp;gbraid=0AAAAAD8axH8VR927z_2A0Aouw8gjIA62-&amp;gclid=EAIaIQobChMIkZC1ttTEkgMVbKf9BR3TkQYrEAQYBCABEgIaWPD_BwE"/>
    <hyperlink ref="E25" r:id="rId16" display="https://produceshop.de/kuchenhocker-und-barhocker/hocker-vintage-industriell-schraubverstellbar-schwarz-aus-metall-crewi?gad_source=1&amp;gad_campaignid=23202677195&amp;gbraid=0AAAABBtu7fK33l5cr3KTe__kCYhqNsolm&amp;gclid=EAIaIQobChMIkZC1ttTEkgMVbKf9BR3TkQYrEAQYDSABEgLhwPD_BwE"/>
    <hyperlink ref="D26" r:id="rId17" display="https://www.amazon.de/Stromverteiler-3x230V-Verzinktkette-Verteiler-Kreuzverteiler/dp/B071ZL3T5Z?source=ps-sl-shoppingads-lpcontext&amp;ref_=fplfs&amp;smid=A2VH3FOVFHH3FB&amp;th=1"/>
    <hyperlink ref="E26" r:id="rId18" display="https://www.hornbach.de/p/abl-100000581-energiewuerfel-mit-4x-schutzkontakt-steckdosen-ip44-stromverteiler/10731592/?marketNo=544"/>
    <hyperlink ref="D27" r:id="rId19" display="https://www.hhl-schwerlastregale.de/gitterrahmen-fur-paletten-h1600-mm-blau?gad_source=1&amp;gad_campaignid=21377299179&amp;gbraid=0AAAAA9rFZK0HOWuwxBhVjOuRSiBXlUIYh&amp;gclid=EAIaIQobChMIqbCH6tbEkgMV-X5BAh3zrBwHEAQYByABEgIdGvD_BwE"/>
    <hyperlink ref="E27" r:id="rId20" display="https://www.der-rollende-shop.de/Rollbehaelter-1350-mm-3-seitig-verzinkt?srsltid=AfmBOorCfCXcJPhqnnMGEPCcb43Z-_1DClN9fMXctoDVrEgKLSEusBMhhgI"/>
    <hyperlink ref="D28" r:id="rId21" display="https://www.mediamarkt.de/de/product/_gigaset-gigaset-e290-2560101.html?storeId=68"/>
    <hyperlink ref="E28" r:id="rId22" display="https://www.saturn.de/de/product/_panasonic-kx-tgj-320-gb-2005893.html?utm_source=google&amp;utm_medium=seo-product%20feed&amp;srsltid=AfmBOorZoQJ_U8q1y3Ar_oOSO9BTM3vRS5gtN6JGI-y5Tu4g7vXw6SdQ-so"/>
    <hyperlink ref="E29" display="Lenovo (665,96€)"/>
    <hyperlink ref="D29" display="MediaMarkt (399€)"/>
    <hyperlink ref="D30" r:id="rId23" display="https://www.amazon.de/Canon-Farbtintenstrahl-Multifunktionsger%C3%A4t-Kopierer-Cloud-Link/dp/B07WV4XBSP?source=ps-sl-shoppingads-lpcontext&amp;ref_=fplfs&amp;smid=A2UOUL8U7ZBPFE&amp;th=1"/>
    <hyperlink ref="E30" r:id="rId24" display="https://www.mediamarkt.de/de/product/_epson-workforce-wf-2935dwf-tintenstrahl-drucker-wlan-2831633.html?storeId=&amp;utm_source=google&amp;utm_medium=cpc&amp;utm_campaign=RT_shopping_na_nsp_na_PLA+-+bluePortal+3+PMax&amp;gclsrc=aw.ds&amp;gad_source=1&amp;gad_campaignid=19775638035&amp;gbraid=0AAAAADh5KajrrGpCLUnzotTQdQFGHypRx&amp;gclid=EAIaIQobChMIuaTpoOnEkgMVKW9BAh08yymTEAQYBSABEgLJCPD_BwE"/>
    <hyperlink ref="D31" r:id="rId25" display="https://moebel.check24.de/productpreview/B5828887776817?gclid=EAIaIQobChMIt6T3--nEkgMVAE1BAh3NdSxhEAQYAiABEgJkHvD_BwE&amp;gbraid=0AAAAABZ77uL7rbhsGBb9gUAucwnex860d"/>
    <hyperlink ref="E31" display="tectakehome (204,99€)"/>
    <hyperlink ref="D32" r:id="rId26" location="ech=29506329" display="https://www.otto.de/p/tribesigns-schreibtisch-160-180x80-cm-grosser-industrial-computertisch-fuer-homeoffice-S0Z7Q0AI/ - ech=29506329"/>
    <hyperlink ref="E32" r:id="rId27" display="https://www.amazon.de/m%C3%B6belando-Schreibtisch-Computertisch-Arbeitstisch-Laptoptisch/dp/B084MJ7629?source=ps-sl-shoppingads-lpcontext&amp;ref_=fplfs&amp;smid=A2E9QZMET6SJ7&amp;th=1"/>
    <hyperlink ref="D33" r:id="rId28" display="https://jysk.de/buro/burostuhle/buerostuhl-billum-schwarzes-mesh"/>
    <hyperlink ref="E33" r:id="rId29" display="https://www.joybuy.de/dp/songmics-computerstuhl-b%C3%BCrostuhl-ergonomischer-heimstuhl-mit/10118955?siteCode=DE-Site&amp;utm_source=affiliate&amp;deep_link_sub1=affiliate&amp;utm_medium=klarna&amp;deep_link_sub2=klarna&amp;utm_campaign=de&amp;c=de&amp;af_c_id=de&amp;deep_link_sub3=de"/>
    <hyperlink ref="D34" display="medion (49,95€)"/>
    <hyperlink ref="E34" r:id="rId30" display="https://www.tchibo.de/products/210846541020/lets-brew-elegant?article_id=114849621857&amp;gad_source=1&amp;gad_campaignid=2057900871&amp;gbraid=0AAAAADD5SAIqw_zvQQ5xEaIKy8hveMFlP&amp;gclid=EAIaIQobChMIqvmxtevEkgMVoXJBAh0V5zDxEAQYBSABEgL2tPD_BwE"/>
    <hyperlink ref="E40" r:id="rId31" display="https://www.snaply.de/rucksack-und-taschenstoff-simon-hellgrau/a-68030785/?ReferrerID=7&amp;srsltid=AfmBOor5oNQOdQoM3WVDtw4Gn8kH5Rwtfm7OrGvqDmtY2Pa_2KJL7PTdC1Y"/>
    <hyperlink ref="F40" r:id="rId32" display="https://www.amazon.de/StoffBook-NYLONSTOFF-CORDURA-TASCHEN-schwarz/dp/B06Y3VNJ2G?source=ps-sl-shoppingads-lpcontext&amp;ref_=fplfs&amp;smid=A3TA48NNWQS53D&amp;th=1"/>
    <hyperlink ref="E41" r:id="rId33" display="https://www.e-stoklasa.de/leder-gurtband-taschenhenkel-breite-10-mm-meterware-x160817?barva=281826"/>
    <hyperlink ref="F41" r:id="rId34" display="https://www.naehkaufhaus.de/Produkte/detail/4353/gurtband-baumwolle-fest-dunkelbraun-25mm"/>
    <hyperlink ref="E42" r:id="rId35" display="https://www.alles-fuer-selbermacher.de/1-Rolle-Overlockgarn---Kone---Braun-0625?path="/>
    <hyperlink ref="F42" r:id="rId36" display="https://www.packlinq.de/products/nahgarn-l-1000-braun-polyester-915m"/>
    <hyperlink ref="E43" r:id="rId37" display="https://www.namensbaender.de/kunstleder-etiketten-handmade-with-love?pk_campaign=google-de-pmax-shopping-leder-kunstleder-etiketten&amp;pk_kwd=&amp;gad_source=1&amp;gad_campaignid=23458278382&amp;gbraid=0AAAAAD_NykPzqGW-ekUA08op6K3JCELAf&amp;gclid=EAIaIQobChMI8NjHmJfMkgMVAE1BAh0MoyjxEAQYBCABEgJnIvD_BwE"/>
    <hyperlink ref="F43" display="Lederetikett.de (0,90€)"/>
    <hyperlink ref="E47" r:id="rId38" display="https://www.planenlager.de/Schneiderkreide?gad_source=1&amp;gad_campaignid=17567490629&amp;gbraid=0AAAAADof5xIql23idHF5ElbaEg-IM0tWp&amp;gclid=EAIaIQobChMIncu8rpjMkgMVBbpoCR1fWTqcEAQYASABEgLbTvD_BwE"/>
    <hyperlink ref="F47" r:id="rId39" display="https://www.budgetstoffe.de/prym-schneiderkreide-blau.html?gad_source=1&amp;gad_campaignid=20009525966&amp;gbraid=0AAAAABVIyrMfMtwWFKsr8ScoyhhfYthDS&amp;gclid=EAIaIQobChMIncu8rpjMkgMVBbpoCR1fWTqcEAQYAyABEgIg0vD_BwE"/>
    <hyperlink ref="E48" r:id="rId40" display="https://www.naehkaufhaus.de/Produkte/detail/11504/stoffklammern-stoff-clips-breit-bunt-gemischt?kid=1&amp;agid=1&amp;gad_source=1&amp;gad_campaignid=21667264540&amp;gbraid=0AAAAADiCe43BOf7LHVzuL82q2XKXuJOp1&amp;gclid=EAIaIQobChMIyLyG-ZjMkgMV4mZBAh3DXjH3EAQYAiABEgK5hvD_BwE"/>
    <hyperlink ref="F48" r:id="rId41" display="https://diezauberscheren.de/stoffclips/set-mit-20-stoffklammern-27-x-1-cm-pony-9686.html"/>
    <hyperlink ref="E49" r:id="rId42" display="https://www.amazon.de/Singer-Original-N%C3%A4hmaschinen-Sortiment-gewebte/dp/B00Y39YLCM?source=ps-sl-shoppingads-lpcontext&amp;ref_=fplfs&amp;psc=1&amp;smid=AOKPYMTGSSCII"/>
    <hyperlink ref="F49" r:id="rId43" display="https://www.hornbach.de/p/naehmaschinen-nadeln-universal-nr-70-80-90-100-10-stk/10723149/?marketNo=544"/>
    <hyperlink ref="D53" display="TimeTex (3,95€)"/>
    <hyperlink ref="E53" r:id="rId44" display="https://www.bueromarkt-ag.de/schneiderschere_rayher_8953700_21cm,p-8953700,l-google-prd,pd-b2c.html?srsltid=AfmBOopfM9Q7zvsiBxPnA4ewJDdNceH4SQP6jRtSS63CXIm8eSVyvMZvO2Q"/>
    <hyperlink ref="F53" display="ebay (9,99€)"/>
    <hyperlink ref="D54" r:id="rId45" display="https://www.naehkaufhaus.de/Produkte/detail/2857/nahtauftrenner-62mm?kid=1&amp;agid=1&amp;gad_source=1&amp;gad_campaignid=21667264540&amp;gbraid=0AAAAADiCe43BOf7LHVzuL82q2XKXuJOp1&amp;gclid=EAIaIQobChMIqoi-qZvMkgMVNJKDBx0MiCHQEAQYASABEgIVOPD_BwE"/>
    <hyperlink ref="E54" r:id="rId46" display="https://www.naehpark.com/prym-nahttrenner-klein/70ed611205?channable=41a8a361727469636c655f6e756d626572003730454436313132303524&amp;campaignCode=google-de&amp;srsltid=AfmBOopnoFaHtnuiUBmv2bvFv2sK3KMpxzirfkuxnP7j5AFcQhSpvWqio8M"/>
    <hyperlink ref="F54" r:id="rId47"/>
    <hyperlink ref="E63" r:id="rId48" display="https://xerb.de/preisliste/online-marketing-performance-marketing-social-media/"/>
    <hyperlink ref="E71"/>
    <hyperlink ref="E70"/>
  </hyperlinks>
  <pageMargins left="0.7" right="0.7" top="0.78740157499999996" bottom="0.78740157499999996" header="0.3" footer="0.3"/>
  <pageSetup paperSize="9" orientation="portrait" horizontalDpi="200" verticalDpi="200" r:id="rId49"/>
  <ignoredErrors>
    <ignoredError sqref="H35" calculatedColumn="1"/>
  </ignoredErrors>
  <tableParts count="8">
    <tablePart r:id="rId50"/>
    <tablePart r:id="rId51"/>
    <tablePart r:id="rId52"/>
    <tablePart r:id="rId53"/>
    <tablePart r:id="rId54"/>
    <tablePart r:id="rId55"/>
    <tablePart r:id="rId56"/>
    <tablePart r:id="rId5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</dc:creator>
  <cp:lastModifiedBy>TN</cp:lastModifiedBy>
  <dcterms:created xsi:type="dcterms:W3CDTF">2025-05-09T09:15:06Z</dcterms:created>
  <dcterms:modified xsi:type="dcterms:W3CDTF">2026-02-10T09:30:03Z</dcterms:modified>
</cp:coreProperties>
</file>